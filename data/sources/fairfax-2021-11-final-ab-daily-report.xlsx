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70ntgc01\Genhome\EB\DEPT_PUB\ELEC_BD\100. ABSENTEE\Absentee Voting\2021\3 Nov General\1 Daily AB Report\"/>
    </mc:Choice>
  </mc:AlternateContent>
  <xr:revisionPtr revIDLastSave="0" documentId="13_ncr:1_{8FF23B0C-D1C7-4ACE-9CDD-A128B7BAB021}" xr6:coauthVersionLast="47" xr6:coauthVersionMax="47" xr10:uidLastSave="{00000000-0000-0000-0000-000000000000}"/>
  <workbookProtection workbookAlgorithmName="SHA-512" workbookHashValue="9d16Oc31yiKxqdSLP5ZLQcFSqrXg6g6xeYwrBlhrbVmSdbYpKkUmP7xRHND4ucZpMmEkzsJqNwvXcvXQSc9jqg==" workbookSaltValue="DKXokv0BHyehoHowiFjvBg==" workbookSpinCount="100000" lockStructure="1"/>
  <bookViews>
    <workbookView xWindow="1665" yWindow="1455" windowWidth="20745" windowHeight="14520" tabRatio="835" xr2:uid="{6AF14F22-288C-4125-A6C3-2BE3FC77997C}"/>
  </bookViews>
  <sheets>
    <sheet name="Summary" sheetId="1" r:id="rId1"/>
    <sheet name="Mailed" sheetId="6" r:id="rId2"/>
    <sheet name="Early Voting Option" sheetId="4" state="hidden" r:id="rId3"/>
    <sheet name="Returned mail" sheetId="31" r:id="rId4"/>
    <sheet name="Returned Drop Box" sheetId="32" r:id="rId5"/>
    <sheet name="Early voting" sheetId="33" r:id="rId6"/>
    <sheet name="Sheet1" sheetId="36" state="hidden" r:id="rId7"/>
    <sheet name="In person instead" sheetId="34" r:id="rId8"/>
    <sheet name="Voter Stmt Curing" sheetId="35" r:id="rId9"/>
    <sheet name="Potential return" sheetId="37" state="hidden" r:id="rId10"/>
    <sheet name="For SOR" sheetId="30" state="hidden" r:id="rId11"/>
    <sheet name="Early Voting Trad" sheetId="13" state="hidden" r:id="rId12"/>
    <sheet name="AB Voting Early Instead" sheetId="9" state="hidden" r:id="rId13"/>
    <sheet name="Compare Early &amp; Returned" sheetId="12" state="hidden" r:id="rId14"/>
    <sheet name="Compare Return" sheetId="14" state="hidden" r:id="rId15"/>
    <sheet name="Compare Early with '17 &amp; '20" sheetId="11" state="hidden" r:id="rId16"/>
    <sheet name="Compare Mailed with '17 &amp; '20" sheetId="10" state="hidden" r:id="rId17"/>
    <sheet name="Compare Mailout+Early" sheetId="29" state="hidden" r:id="rId18"/>
  </sheets>
  <definedNames>
    <definedName name="_xlnm._FilterDatabase" localSheetId="5" hidden="1">'Early voting'!$G$1:$G$121</definedName>
    <definedName name="_xlnm.Print_Area" localSheetId="5">'Early voting'!$A$1:$E$10</definedName>
    <definedName name="_xlnm.Print_Area" localSheetId="10">'For SOR'!$A$1:$D$156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6" i="31" l="1"/>
  <c r="B55" i="31"/>
  <c r="B53" i="32"/>
  <c r="E53" i="32"/>
  <c r="D53" i="32"/>
  <c r="C53" i="32"/>
  <c r="B54" i="31"/>
  <c r="B53" i="31"/>
  <c r="F48" i="6"/>
  <c r="F49" i="6"/>
  <c r="F50" i="6"/>
  <c r="F51" i="6"/>
  <c r="B52" i="32"/>
  <c r="C50" i="32"/>
  <c r="B52" i="6"/>
  <c r="B52" i="31" l="1"/>
  <c r="C3" i="37" l="1"/>
  <c r="C5" i="37" s="1"/>
  <c r="B9" i="36"/>
  <c r="D9" i="36"/>
  <c r="C9" i="36"/>
  <c r="B47" i="6"/>
  <c r="B48" i="6"/>
  <c r="B50" i="6"/>
  <c r="B49" i="33" l="1"/>
  <c r="C49" i="34"/>
  <c r="B49" i="34" s="1"/>
  <c r="D49" i="34"/>
  <c r="B50" i="32"/>
  <c r="B50" i="31"/>
  <c r="B49" i="32" l="1"/>
  <c r="C49" i="32"/>
  <c r="B48" i="34"/>
  <c r="C48" i="34"/>
  <c r="D48" i="34"/>
  <c r="B48" i="33"/>
  <c r="B49" i="6"/>
  <c r="B49" i="31"/>
  <c r="B47" i="34"/>
  <c r="C47" i="34"/>
  <c r="D47" i="34"/>
  <c r="B47" i="33"/>
  <c r="B48" i="32"/>
  <c r="B48" i="31"/>
  <c r="B46" i="6"/>
  <c r="C46" i="34"/>
  <c r="B46" i="34" s="1"/>
  <c r="D46" i="34"/>
  <c r="B46" i="33"/>
  <c r="B47" i="32"/>
  <c r="C47" i="32"/>
  <c r="B47" i="31"/>
  <c r="C42" i="6"/>
  <c r="B42" i="6" s="1"/>
  <c r="B44" i="32"/>
  <c r="B46" i="32"/>
  <c r="C46" i="32"/>
  <c r="B46" i="31"/>
  <c r="C45" i="34"/>
  <c r="B45" i="34" s="1"/>
  <c r="D45" i="34"/>
  <c r="B45" i="33"/>
  <c r="B45" i="32"/>
  <c r="B45" i="31"/>
  <c r="C44" i="34"/>
  <c r="B44" i="34" s="1"/>
  <c r="D44" i="34"/>
  <c r="C43" i="34"/>
  <c r="D43" i="34"/>
  <c r="B43" i="34" s="1"/>
  <c r="B44" i="33"/>
  <c r="C45" i="6"/>
  <c r="B45" i="6" s="1"/>
  <c r="B43" i="33"/>
  <c r="B43" i="31"/>
  <c r="B43" i="32"/>
  <c r="C42" i="34"/>
  <c r="D42" i="34"/>
  <c r="B42" i="31"/>
  <c r="B42" i="32"/>
  <c r="C42" i="32"/>
  <c r="B42" i="33"/>
  <c r="B41" i="33"/>
  <c r="C41" i="34"/>
  <c r="B41" i="34" s="1"/>
  <c r="D41" i="34"/>
  <c r="B42" i="34" l="1"/>
  <c r="C41" i="6"/>
  <c r="B41" i="6" s="1"/>
  <c r="B41" i="31" l="1"/>
  <c r="B41" i="32"/>
  <c r="C41" i="32"/>
  <c r="B40" i="34"/>
  <c r="B40" i="33"/>
  <c r="C28" i="6"/>
  <c r="B40" i="32"/>
  <c r="C40" i="32"/>
  <c r="B40" i="31"/>
  <c r="B39" i="34"/>
  <c r="B39" i="33"/>
  <c r="C40" i="6" l="1"/>
  <c r="B40" i="6" s="1"/>
  <c r="E6" i="32"/>
  <c r="D6" i="32"/>
  <c r="C6" i="32"/>
  <c r="B6" i="32"/>
  <c r="F6" i="31"/>
  <c r="E6" i="31"/>
  <c r="D6" i="31"/>
  <c r="C6" i="31"/>
  <c r="B6" i="31"/>
  <c r="C34" i="32"/>
  <c r="C11" i="32"/>
  <c r="C12" i="32"/>
  <c r="C14" i="32"/>
  <c r="C13" i="32"/>
  <c r="C17" i="32"/>
  <c r="C27" i="32"/>
  <c r="C26" i="32"/>
  <c r="C28" i="32"/>
  <c r="C33" i="32"/>
  <c r="C24" i="31"/>
  <c r="E4" i="37" l="1"/>
  <c r="E3" i="37"/>
  <c r="G6" i="31"/>
  <c r="F6" i="32"/>
  <c r="B38" i="34"/>
  <c r="B38" i="33"/>
  <c r="B39" i="32"/>
  <c r="C39" i="32"/>
  <c r="B39" i="31"/>
  <c r="E5" i="37" l="1"/>
  <c r="C39" i="6"/>
  <c r="B39" i="6" s="1"/>
  <c r="B37" i="34" l="1"/>
  <c r="B37" i="33"/>
  <c r="B38" i="32"/>
  <c r="C38" i="32"/>
  <c r="E35" i="31"/>
  <c r="B38" i="31"/>
  <c r="C38" i="6"/>
  <c r="B38" i="6"/>
  <c r="B35" i="32" l="1"/>
  <c r="C35" i="32"/>
  <c r="B35" i="31"/>
  <c r="B34" i="34"/>
  <c r="B34" i="33"/>
  <c r="C35" i="6"/>
  <c r="B35" i="6" s="1"/>
  <c r="B33" i="34" l="1"/>
  <c r="B34" i="32"/>
  <c r="B34" i="31"/>
  <c r="B33" i="33"/>
  <c r="C33" i="6"/>
  <c r="B33" i="6" s="1"/>
  <c r="C34" i="6" l="1"/>
  <c r="B34" i="6" s="1"/>
  <c r="B32" i="33"/>
  <c r="B32" i="34"/>
  <c r="B33" i="32"/>
  <c r="C31" i="32"/>
  <c r="C32" i="32"/>
  <c r="B32" i="32" s="1"/>
  <c r="B33" i="31"/>
  <c r="F32" i="31"/>
  <c r="B32" i="31"/>
  <c r="B31" i="33"/>
  <c r="B31" i="34"/>
  <c r="B32" i="6"/>
  <c r="C32" i="6"/>
  <c r="B31" i="32"/>
  <c r="B31" i="31"/>
  <c r="C31" i="6"/>
  <c r="B31" i="6" s="1"/>
  <c r="B27" i="34" l="1"/>
  <c r="B30" i="34"/>
  <c r="B30" i="33"/>
  <c r="B27" i="33"/>
  <c r="B28" i="32"/>
  <c r="B28" i="31"/>
  <c r="B28" i="6"/>
  <c r="B27" i="32"/>
  <c r="B26" i="32"/>
  <c r="B27" i="31"/>
  <c r="B26" i="33"/>
  <c r="C27" i="6"/>
  <c r="B27" i="6" s="1"/>
  <c r="B26" i="31"/>
  <c r="C25" i="32"/>
  <c r="B25" i="34"/>
  <c r="B25" i="33"/>
  <c r="C26" i="6"/>
  <c r="B26" i="6" s="1"/>
  <c r="B24" i="34" l="1"/>
  <c r="B24" i="33"/>
  <c r="B25" i="32"/>
  <c r="B25" i="31"/>
  <c r="C25" i="6"/>
  <c r="B25" i="6" s="1"/>
  <c r="C24" i="32"/>
  <c r="B23" i="34"/>
  <c r="B23" i="33"/>
  <c r="B24" i="32"/>
  <c r="B24" i="31"/>
  <c r="C18" i="32"/>
  <c r="C19" i="32"/>
  <c r="E18" i="31"/>
  <c r="C20" i="31"/>
  <c r="C18" i="31"/>
  <c r="C14" i="31"/>
  <c r="C17" i="31"/>
  <c r="C24" i="6"/>
  <c r="B24" i="6" s="1"/>
  <c r="B20" i="34" l="1"/>
  <c r="B20" i="33"/>
  <c r="B21" i="32"/>
  <c r="C21" i="32"/>
  <c r="C21" i="6"/>
  <c r="B21" i="6" s="1"/>
  <c r="B21" i="31" l="1"/>
  <c r="B17" i="31"/>
  <c r="C20" i="32" l="1"/>
  <c r="B19" i="34"/>
  <c r="B19" i="33"/>
  <c r="C20" i="6"/>
  <c r="B20" i="6"/>
  <c r="B20" i="31"/>
  <c r="B20" i="32"/>
  <c r="B19" i="32"/>
  <c r="F19" i="31"/>
  <c r="C4" i="35"/>
  <c r="B4" i="35"/>
  <c r="B18" i="34"/>
  <c r="B18" i="33"/>
  <c r="B19" i="31"/>
  <c r="D19" i="6"/>
  <c r="C19" i="6"/>
  <c r="B19" i="6" s="1"/>
  <c r="D4" i="35" l="1"/>
  <c r="F4" i="35"/>
  <c r="B17" i="34"/>
  <c r="B17" i="33"/>
  <c r="B14" i="31"/>
  <c r="F17" i="31"/>
  <c r="F14" i="31"/>
  <c r="F13" i="31"/>
  <c r="B18" i="32"/>
  <c r="B18" i="31" l="1"/>
  <c r="C18" i="6"/>
  <c r="B18" i="6" s="1"/>
  <c r="B17" i="6"/>
  <c r="B17" i="32"/>
  <c r="B16" i="34"/>
  <c r="B16" i="33"/>
  <c r="B13" i="34"/>
  <c r="B13" i="33"/>
  <c r="B14" i="32"/>
  <c r="C14" i="6"/>
  <c r="B14" i="6" s="1"/>
  <c r="B12" i="34"/>
  <c r="B12" i="33"/>
  <c r="B13" i="32"/>
  <c r="B13" i="31"/>
  <c r="C13" i="6"/>
  <c r="F13" i="6" s="1"/>
  <c r="B12" i="31"/>
  <c r="B11" i="34"/>
  <c r="B11" i="33"/>
  <c r="C12" i="6"/>
  <c r="F12" i="6" s="1"/>
  <c r="B12" i="32"/>
  <c r="B10" i="33"/>
  <c r="B10" i="34"/>
  <c r="F8" i="6"/>
  <c r="F9" i="6"/>
  <c r="F10" i="6"/>
  <c r="F15" i="6"/>
  <c r="F16" i="6"/>
  <c r="F17" i="6"/>
  <c r="F18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14" i="6" l="1"/>
  <c r="B13" i="6"/>
  <c r="B12" i="6"/>
  <c r="B11" i="32"/>
  <c r="B11" i="31"/>
  <c r="C11" i="6"/>
  <c r="B9" i="34"/>
  <c r="B9" i="33"/>
  <c r="B10" i="32"/>
  <c r="B10" i="31"/>
  <c r="B10" i="6"/>
  <c r="D5" i="34"/>
  <c r="C5" i="34"/>
  <c r="B7" i="34"/>
  <c r="B6" i="34"/>
  <c r="D7" i="6"/>
  <c r="C7" i="6" s="1"/>
  <c r="F7" i="6" s="1"/>
  <c r="E7" i="6"/>
  <c r="B7" i="33"/>
  <c r="B6" i="33"/>
  <c r="B7" i="32"/>
  <c r="B7" i="31"/>
  <c r="E5" i="33"/>
  <c r="F5" i="33"/>
  <c r="G5" i="33"/>
  <c r="I5" i="33"/>
  <c r="H5" i="33"/>
  <c r="J5" i="33"/>
  <c r="K5" i="33"/>
  <c r="L5" i="33"/>
  <c r="M5" i="33"/>
  <c r="N5" i="33"/>
  <c r="O5" i="33"/>
  <c r="P5" i="33"/>
  <c r="Q5" i="33"/>
  <c r="R5" i="33"/>
  <c r="D5" i="33"/>
  <c r="P21" i="12"/>
  <c r="D9" i="1" l="1"/>
  <c r="B11" i="6"/>
  <c r="F11" i="6"/>
  <c r="B5" i="34"/>
  <c r="D55" i="32"/>
  <c r="B5" i="33"/>
  <c r="B7" i="6"/>
  <c r="B6" i="6" s="1"/>
  <c r="P20" i="12"/>
  <c r="O20" i="12"/>
  <c r="P19" i="12"/>
  <c r="O19" i="12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13" i="14"/>
  <c r="P53" i="14"/>
  <c r="I51" i="12"/>
  <c r="I50" i="12"/>
  <c r="Q50" i="14"/>
  <c r="Q49" i="14"/>
  <c r="C12" i="30"/>
  <c r="S48" i="14"/>
  <c r="F9" i="1" l="1"/>
  <c r="D16" i="1" s="1"/>
  <c r="C9" i="1"/>
  <c r="E9" i="1" s="1"/>
  <c r="A48" i="12"/>
  <c r="A49" i="12" s="1"/>
  <c r="F48" i="29"/>
  <c r="E48" i="29"/>
  <c r="B48" i="29"/>
  <c r="A48" i="29"/>
  <c r="G47" i="29"/>
  <c r="C47" i="29"/>
  <c r="G46" i="29"/>
  <c r="C46" i="29"/>
  <c r="G45" i="29"/>
  <c r="C45" i="29"/>
  <c r="G44" i="29"/>
  <c r="C44" i="29"/>
  <c r="G43" i="29"/>
  <c r="C43" i="29"/>
  <c r="G42" i="29"/>
  <c r="C42" i="29"/>
  <c r="G41" i="29"/>
  <c r="C41" i="29"/>
  <c r="G40" i="29"/>
  <c r="C40" i="29"/>
  <c r="G39" i="29"/>
  <c r="C39" i="29"/>
  <c r="G38" i="29"/>
  <c r="C38" i="29"/>
  <c r="G37" i="29"/>
  <c r="C37" i="29"/>
  <c r="G36" i="29"/>
  <c r="C36" i="29"/>
  <c r="G35" i="29"/>
  <c r="C35" i="29"/>
  <c r="G34" i="29"/>
  <c r="C34" i="29"/>
  <c r="G33" i="29"/>
  <c r="C33" i="29"/>
  <c r="G32" i="29"/>
  <c r="C32" i="29"/>
  <c r="G31" i="29"/>
  <c r="C31" i="29"/>
  <c r="G30" i="29"/>
  <c r="C30" i="29"/>
  <c r="G29" i="29"/>
  <c r="C29" i="29"/>
  <c r="G28" i="29"/>
  <c r="C28" i="29"/>
  <c r="G27" i="29"/>
  <c r="C27" i="29"/>
  <c r="G26" i="29"/>
  <c r="C26" i="29"/>
  <c r="G25" i="29"/>
  <c r="C25" i="29"/>
  <c r="G24" i="29"/>
  <c r="C24" i="29"/>
  <c r="G23" i="29"/>
  <c r="C23" i="29"/>
  <c r="G22" i="29"/>
  <c r="C22" i="29"/>
  <c r="G21" i="29"/>
  <c r="C21" i="29"/>
  <c r="G20" i="29"/>
  <c r="C20" i="29"/>
  <c r="G19" i="29"/>
  <c r="C19" i="29"/>
  <c r="G18" i="29"/>
  <c r="C18" i="29"/>
  <c r="G17" i="29"/>
  <c r="C17" i="29"/>
  <c r="G16" i="29"/>
  <c r="C16" i="29"/>
  <c r="G15" i="29"/>
  <c r="C15" i="29"/>
  <c r="G14" i="29"/>
  <c r="C14" i="29"/>
  <c r="G13" i="29"/>
  <c r="C13" i="29"/>
  <c r="G12" i="29"/>
  <c r="C12" i="29"/>
  <c r="G11" i="29"/>
  <c r="C11" i="29"/>
  <c r="G10" i="29"/>
  <c r="C10" i="29"/>
  <c r="G9" i="29"/>
  <c r="C9" i="29"/>
  <c r="G8" i="29"/>
  <c r="C8" i="29"/>
  <c r="G7" i="29"/>
  <c r="C7" i="29"/>
  <c r="G6" i="29"/>
  <c r="C6" i="29"/>
  <c r="G5" i="29"/>
  <c r="C5" i="29"/>
  <c r="G4" i="29"/>
  <c r="C4" i="29"/>
  <c r="I54" i="14"/>
  <c r="Q41" i="14"/>
  <c r="S41" i="14"/>
  <c r="Q42" i="14"/>
  <c r="S42" i="14"/>
  <c r="S40" i="14"/>
  <c r="H42" i="11"/>
  <c r="H41" i="11"/>
  <c r="H43" i="10"/>
  <c r="H42" i="10"/>
  <c r="H41" i="10"/>
  <c r="H43" i="11"/>
  <c r="E4" i="35" l="1"/>
  <c r="C49" i="12"/>
  <c r="A50" i="12"/>
  <c r="C50" i="12" s="1"/>
  <c r="C48" i="12"/>
  <c r="D11" i="1" l="1"/>
  <c r="D13" i="1" s="1"/>
  <c r="D17" i="1"/>
  <c r="S33" i="14"/>
  <c r="S34" i="14"/>
  <c r="P33" i="14"/>
  <c r="P34" i="14"/>
  <c r="H34" i="10"/>
  <c r="H35" i="10"/>
  <c r="H34" i="11"/>
  <c r="H33" i="11"/>
  <c r="D14" i="1" l="1"/>
  <c r="G9" i="1"/>
  <c r="S26" i="14"/>
  <c r="S27" i="14"/>
  <c r="R7" i="14"/>
  <c r="R8" i="14" s="1"/>
  <c r="R9" i="14" s="1"/>
  <c r="R10" i="14" s="1"/>
  <c r="R11" i="14" s="1"/>
  <c r="R12" i="14" s="1"/>
  <c r="R13" i="14" s="1"/>
  <c r="R14" i="14" s="1"/>
  <c r="R15" i="14" s="1"/>
  <c r="R16" i="14" s="1"/>
  <c r="R17" i="14" s="1"/>
  <c r="R18" i="14" s="1"/>
  <c r="R19" i="14" s="1"/>
  <c r="R20" i="14" s="1"/>
  <c r="R21" i="14" s="1"/>
  <c r="T7" i="14"/>
  <c r="T8" i="14" s="1"/>
  <c r="T9" i="14" s="1"/>
  <c r="T10" i="14" s="1"/>
  <c r="T11" i="14" s="1"/>
  <c r="T12" i="14" s="1"/>
  <c r="T13" i="14" s="1"/>
  <c r="T14" i="14" s="1"/>
  <c r="T15" i="14" s="1"/>
  <c r="T16" i="14" s="1"/>
  <c r="T17" i="14" s="1"/>
  <c r="T18" i="14" s="1"/>
  <c r="T19" i="14" s="1"/>
  <c r="T20" i="14" s="1"/>
  <c r="T21" i="14" s="1"/>
  <c r="T22" i="14" s="1"/>
  <c r="T23" i="14" s="1"/>
  <c r="B54" i="14"/>
  <c r="D54" i="14"/>
  <c r="C11" i="14"/>
  <c r="C12" i="14" s="1"/>
  <c r="E7" i="14"/>
  <c r="E8" i="14" s="1"/>
  <c r="E9" i="14" s="1"/>
  <c r="E10" i="14" s="1"/>
  <c r="E11" i="14" s="1"/>
  <c r="E12" i="14" s="1"/>
  <c r="E13" i="14" s="1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E31" i="14" s="1"/>
  <c r="E32" i="14" s="1"/>
  <c r="E33" i="14" s="1"/>
  <c r="E34" i="14" s="1"/>
  <c r="E35" i="14" s="1"/>
  <c r="E36" i="14" s="1"/>
  <c r="E37" i="14" s="1"/>
  <c r="E38" i="14" s="1"/>
  <c r="E39" i="14" s="1"/>
  <c r="E40" i="14" s="1"/>
  <c r="E41" i="14" s="1"/>
  <c r="E42" i="14" s="1"/>
  <c r="E43" i="14" s="1"/>
  <c r="E44" i="14" s="1"/>
  <c r="E45" i="14" s="1"/>
  <c r="E46" i="14" s="1"/>
  <c r="E47" i="14" s="1"/>
  <c r="L7" i="14"/>
  <c r="L8" i="14" s="1"/>
  <c r="L9" i="14" s="1"/>
  <c r="L10" i="14" s="1"/>
  <c r="L11" i="14" s="1"/>
  <c r="L12" i="14" s="1"/>
  <c r="L13" i="14" s="1"/>
  <c r="L14" i="14" s="1"/>
  <c r="L15" i="14" s="1"/>
  <c r="L16" i="14" s="1"/>
  <c r="L17" i="14" s="1"/>
  <c r="L18" i="14" s="1"/>
  <c r="L19" i="14" s="1"/>
  <c r="L20" i="14" s="1"/>
  <c r="L21" i="14" s="1"/>
  <c r="L22" i="14" s="1"/>
  <c r="L23" i="14" s="1"/>
  <c r="L24" i="14" s="1"/>
  <c r="L25" i="14" s="1"/>
  <c r="L26" i="14" s="1"/>
  <c r="L27" i="14" s="1"/>
  <c r="L28" i="14" s="1"/>
  <c r="L29" i="14" s="1"/>
  <c r="L30" i="14" s="1"/>
  <c r="L31" i="14" s="1"/>
  <c r="L32" i="14" s="1"/>
  <c r="L33" i="14" s="1"/>
  <c r="L34" i="14" s="1"/>
  <c r="L35" i="14" s="1"/>
  <c r="L36" i="14" s="1"/>
  <c r="L37" i="14" s="1"/>
  <c r="L38" i="14" s="1"/>
  <c r="L39" i="14" s="1"/>
  <c r="L40" i="14" s="1"/>
  <c r="L41" i="14" s="1"/>
  <c r="L42" i="14" s="1"/>
  <c r="L43" i="14" s="1"/>
  <c r="L44" i="14" s="1"/>
  <c r="L45" i="14" s="1"/>
  <c r="L46" i="14" s="1"/>
  <c r="L47" i="14" s="1"/>
  <c r="L48" i="14" s="1"/>
  <c r="L49" i="14" s="1"/>
  <c r="L50" i="14" s="1"/>
  <c r="L51" i="14" s="1"/>
  <c r="L52" i="14" s="1"/>
  <c r="L53" i="14" s="1"/>
  <c r="J7" i="14"/>
  <c r="H13" i="11"/>
  <c r="H14" i="10"/>
  <c r="H13" i="10"/>
  <c r="H17" i="10"/>
  <c r="H15" i="10"/>
  <c r="H12" i="10"/>
  <c r="H8" i="10"/>
  <c r="H11" i="10"/>
  <c r="H4" i="10"/>
  <c r="I4" i="10" s="1"/>
  <c r="H9" i="10"/>
  <c r="H5" i="10"/>
  <c r="D7" i="9"/>
  <c r="D8" i="9"/>
  <c r="D9" i="9"/>
  <c r="D11" i="9"/>
  <c r="D12" i="9"/>
  <c r="D13" i="9"/>
  <c r="H6" i="11"/>
  <c r="D6" i="9"/>
  <c r="C45" i="9"/>
  <c r="B45" i="9"/>
  <c r="EH50" i="13"/>
  <c r="DZ50" i="13"/>
  <c r="DR50" i="13"/>
  <c r="DJ50" i="13"/>
  <c r="DB50" i="13"/>
  <c r="CT50" i="13"/>
  <c r="CL50" i="13"/>
  <c r="CD50" i="13"/>
  <c r="BV50" i="13"/>
  <c r="BN50" i="13"/>
  <c r="BF50" i="13"/>
  <c r="AX50" i="13"/>
  <c r="AP50" i="13"/>
  <c r="AH50" i="13"/>
  <c r="Z50" i="13"/>
  <c r="R50" i="13"/>
  <c r="B50" i="13"/>
  <c r="C50" i="13"/>
  <c r="D50" i="13"/>
  <c r="E50" i="13"/>
  <c r="F50" i="13"/>
  <c r="G50" i="13"/>
  <c r="H50" i="13"/>
  <c r="I50" i="13"/>
  <c r="EH49" i="13"/>
  <c r="DZ49" i="13"/>
  <c r="DR49" i="13"/>
  <c r="DJ49" i="13"/>
  <c r="DB49" i="13"/>
  <c r="CT49" i="13"/>
  <c r="CL49" i="13"/>
  <c r="CD49" i="13"/>
  <c r="BV49" i="13"/>
  <c r="BN49" i="13"/>
  <c r="BF49" i="13"/>
  <c r="AX49" i="13"/>
  <c r="AP49" i="13"/>
  <c r="AH49" i="13"/>
  <c r="Z49" i="13"/>
  <c r="R49" i="13"/>
  <c r="B49" i="13"/>
  <c r="C49" i="13"/>
  <c r="D49" i="13"/>
  <c r="E49" i="13"/>
  <c r="F49" i="13"/>
  <c r="G49" i="13"/>
  <c r="H49" i="13"/>
  <c r="I49" i="13"/>
  <c r="EH48" i="13"/>
  <c r="DZ48" i="13"/>
  <c r="DR48" i="13"/>
  <c r="DJ48" i="13"/>
  <c r="DB48" i="13"/>
  <c r="CT48" i="13"/>
  <c r="CL48" i="13"/>
  <c r="CD48" i="13"/>
  <c r="BV48" i="13"/>
  <c r="BN48" i="13"/>
  <c r="BF48" i="13"/>
  <c r="AX48" i="13"/>
  <c r="AP48" i="13"/>
  <c r="AH48" i="13"/>
  <c r="Z48" i="13"/>
  <c r="R48" i="13"/>
  <c r="B48" i="13"/>
  <c r="C48" i="13"/>
  <c r="D48" i="13"/>
  <c r="E48" i="13"/>
  <c r="F48" i="13"/>
  <c r="G48" i="13"/>
  <c r="H48" i="13"/>
  <c r="I48" i="13"/>
  <c r="EH47" i="13"/>
  <c r="DZ47" i="13"/>
  <c r="DR47" i="13"/>
  <c r="DJ47" i="13"/>
  <c r="DB47" i="13"/>
  <c r="CT47" i="13"/>
  <c r="CL47" i="13"/>
  <c r="CD47" i="13"/>
  <c r="BV47" i="13"/>
  <c r="BN47" i="13"/>
  <c r="BF47" i="13"/>
  <c r="AX47" i="13"/>
  <c r="AP47" i="13"/>
  <c r="AH47" i="13"/>
  <c r="Z47" i="13"/>
  <c r="R47" i="13"/>
  <c r="B47" i="13"/>
  <c r="C47" i="13"/>
  <c r="D47" i="13"/>
  <c r="E47" i="13"/>
  <c r="F47" i="13"/>
  <c r="G47" i="13"/>
  <c r="H47" i="13"/>
  <c r="I47" i="13"/>
  <c r="EH46" i="13"/>
  <c r="DZ46" i="13"/>
  <c r="DR46" i="13"/>
  <c r="DJ46" i="13"/>
  <c r="DB46" i="13"/>
  <c r="CT46" i="13"/>
  <c r="CL46" i="13"/>
  <c r="CD46" i="13"/>
  <c r="BV46" i="13"/>
  <c r="BN46" i="13"/>
  <c r="BF46" i="13"/>
  <c r="AX46" i="13"/>
  <c r="AP46" i="13"/>
  <c r="AH46" i="13"/>
  <c r="Z46" i="13"/>
  <c r="R46" i="13"/>
  <c r="B46" i="13"/>
  <c r="C46" i="13"/>
  <c r="D46" i="13"/>
  <c r="E46" i="13"/>
  <c r="F46" i="13"/>
  <c r="G46" i="13"/>
  <c r="H46" i="13"/>
  <c r="I46" i="13"/>
  <c r="EH45" i="13"/>
  <c r="DZ45" i="13"/>
  <c r="DR45" i="13"/>
  <c r="DJ45" i="13"/>
  <c r="DB45" i="13"/>
  <c r="CT45" i="13"/>
  <c r="CL45" i="13"/>
  <c r="CD45" i="13"/>
  <c r="BV45" i="13"/>
  <c r="BN45" i="13"/>
  <c r="BF45" i="13"/>
  <c r="AX45" i="13"/>
  <c r="AP45" i="13"/>
  <c r="AH45" i="13"/>
  <c r="Z45" i="13"/>
  <c r="R45" i="13"/>
  <c r="B45" i="13"/>
  <c r="C45" i="13"/>
  <c r="D45" i="13"/>
  <c r="E45" i="13"/>
  <c r="F45" i="13"/>
  <c r="G45" i="13"/>
  <c r="H45" i="13"/>
  <c r="I45" i="13"/>
  <c r="EH43" i="13"/>
  <c r="DZ43" i="13"/>
  <c r="DR43" i="13"/>
  <c r="DJ43" i="13"/>
  <c r="DB43" i="13"/>
  <c r="CT43" i="13"/>
  <c r="CL43" i="13"/>
  <c r="CD43" i="13"/>
  <c r="BV43" i="13"/>
  <c r="BN43" i="13"/>
  <c r="BF43" i="13"/>
  <c r="AX43" i="13"/>
  <c r="AP43" i="13"/>
  <c r="AH43" i="13"/>
  <c r="Z43" i="13"/>
  <c r="R43" i="13"/>
  <c r="B43" i="13"/>
  <c r="C43" i="13"/>
  <c r="D43" i="13"/>
  <c r="E43" i="13"/>
  <c r="F43" i="13"/>
  <c r="G43" i="13"/>
  <c r="H43" i="13"/>
  <c r="I43" i="13"/>
  <c r="EH42" i="13"/>
  <c r="DZ42" i="13"/>
  <c r="DR42" i="13"/>
  <c r="DJ42" i="13"/>
  <c r="DB42" i="13"/>
  <c r="CT42" i="13"/>
  <c r="CL42" i="13"/>
  <c r="CD42" i="13"/>
  <c r="BV42" i="13"/>
  <c r="BN42" i="13"/>
  <c r="BF42" i="13"/>
  <c r="AX42" i="13"/>
  <c r="AP42" i="13"/>
  <c r="AH42" i="13"/>
  <c r="Z42" i="13"/>
  <c r="R42" i="13"/>
  <c r="B42" i="13"/>
  <c r="C42" i="13"/>
  <c r="D42" i="13"/>
  <c r="E42" i="13"/>
  <c r="F42" i="13"/>
  <c r="G42" i="13"/>
  <c r="H42" i="13"/>
  <c r="I42" i="13"/>
  <c r="EH41" i="13"/>
  <c r="DZ41" i="13"/>
  <c r="DR41" i="13"/>
  <c r="DJ41" i="13"/>
  <c r="DB41" i="13"/>
  <c r="CT41" i="13"/>
  <c r="CL41" i="13"/>
  <c r="CD41" i="13"/>
  <c r="BV41" i="13"/>
  <c r="BN41" i="13"/>
  <c r="BF41" i="13"/>
  <c r="AX41" i="13"/>
  <c r="AP41" i="13"/>
  <c r="AH41" i="13"/>
  <c r="Z41" i="13"/>
  <c r="R41" i="13"/>
  <c r="B41" i="13"/>
  <c r="C41" i="13"/>
  <c r="D41" i="13"/>
  <c r="E41" i="13"/>
  <c r="F41" i="13"/>
  <c r="G41" i="13"/>
  <c r="H41" i="13"/>
  <c r="I41" i="13"/>
  <c r="EH40" i="13"/>
  <c r="DZ40" i="13"/>
  <c r="DR40" i="13"/>
  <c r="DJ40" i="13"/>
  <c r="DB40" i="13"/>
  <c r="CT40" i="13"/>
  <c r="CL40" i="13"/>
  <c r="CD40" i="13"/>
  <c r="BV40" i="13"/>
  <c r="BN40" i="13"/>
  <c r="BF40" i="13"/>
  <c r="AX40" i="13"/>
  <c r="AP40" i="13"/>
  <c r="AH40" i="13"/>
  <c r="Z40" i="13"/>
  <c r="R40" i="13"/>
  <c r="B40" i="13"/>
  <c r="C40" i="13"/>
  <c r="D40" i="13"/>
  <c r="E40" i="13"/>
  <c r="F40" i="13"/>
  <c r="G40" i="13"/>
  <c r="H40" i="13"/>
  <c r="I40" i="13"/>
  <c r="EH39" i="13"/>
  <c r="DZ39" i="13"/>
  <c r="DR39" i="13"/>
  <c r="DJ39" i="13"/>
  <c r="DB39" i="13"/>
  <c r="CT39" i="13"/>
  <c r="CL39" i="13"/>
  <c r="CD39" i="13"/>
  <c r="BV39" i="13"/>
  <c r="BN39" i="13"/>
  <c r="BF39" i="13"/>
  <c r="AX39" i="13"/>
  <c r="AP39" i="13"/>
  <c r="AH39" i="13"/>
  <c r="Z39" i="13"/>
  <c r="R39" i="13"/>
  <c r="B39" i="13"/>
  <c r="C39" i="13"/>
  <c r="D39" i="13"/>
  <c r="E39" i="13"/>
  <c r="F39" i="13"/>
  <c r="G39" i="13"/>
  <c r="H39" i="13"/>
  <c r="I39" i="13"/>
  <c r="EH38" i="13"/>
  <c r="DZ38" i="13"/>
  <c r="DR38" i="13"/>
  <c r="DJ38" i="13"/>
  <c r="DB38" i="13"/>
  <c r="CT38" i="13"/>
  <c r="CL38" i="13"/>
  <c r="CD38" i="13"/>
  <c r="BV38" i="13"/>
  <c r="BN38" i="13"/>
  <c r="BF38" i="13"/>
  <c r="AX38" i="13"/>
  <c r="AP38" i="13"/>
  <c r="AH38" i="13"/>
  <c r="Z38" i="13"/>
  <c r="R38" i="13"/>
  <c r="B38" i="13"/>
  <c r="C38" i="13"/>
  <c r="D38" i="13"/>
  <c r="E38" i="13"/>
  <c r="F38" i="13"/>
  <c r="G38" i="13"/>
  <c r="H38" i="13"/>
  <c r="I38" i="13"/>
  <c r="EH35" i="13"/>
  <c r="DZ35" i="13"/>
  <c r="DR35" i="13"/>
  <c r="DJ35" i="13"/>
  <c r="DB35" i="13"/>
  <c r="CT35" i="13"/>
  <c r="CL35" i="13"/>
  <c r="CD35" i="13"/>
  <c r="BV35" i="13"/>
  <c r="BN35" i="13"/>
  <c r="BF35" i="13"/>
  <c r="AX35" i="13"/>
  <c r="AP35" i="13"/>
  <c r="AH35" i="13"/>
  <c r="Z35" i="13"/>
  <c r="R35" i="13"/>
  <c r="B35" i="13"/>
  <c r="C35" i="13"/>
  <c r="D35" i="13"/>
  <c r="E35" i="13"/>
  <c r="F35" i="13"/>
  <c r="G35" i="13"/>
  <c r="H35" i="13"/>
  <c r="I35" i="13"/>
  <c r="EH34" i="13"/>
  <c r="DZ34" i="13"/>
  <c r="DR34" i="13"/>
  <c r="DJ34" i="13"/>
  <c r="DB34" i="13"/>
  <c r="CT34" i="13"/>
  <c r="CL34" i="13"/>
  <c r="CD34" i="13"/>
  <c r="BV34" i="13"/>
  <c r="BN34" i="13"/>
  <c r="BF34" i="13"/>
  <c r="AX34" i="13"/>
  <c r="AP34" i="13"/>
  <c r="AH34" i="13"/>
  <c r="Z34" i="13"/>
  <c r="R34" i="13"/>
  <c r="B34" i="13"/>
  <c r="C34" i="13"/>
  <c r="D34" i="13"/>
  <c r="E34" i="13"/>
  <c r="F34" i="13"/>
  <c r="G34" i="13"/>
  <c r="H34" i="13"/>
  <c r="I34" i="13"/>
  <c r="EH33" i="13"/>
  <c r="DZ33" i="13"/>
  <c r="DR33" i="13"/>
  <c r="DJ33" i="13"/>
  <c r="DB33" i="13"/>
  <c r="CT33" i="13"/>
  <c r="CL33" i="13"/>
  <c r="CD33" i="13"/>
  <c r="BV33" i="13"/>
  <c r="BN33" i="13"/>
  <c r="BF33" i="13"/>
  <c r="AX33" i="13"/>
  <c r="AP33" i="13"/>
  <c r="AH33" i="13"/>
  <c r="Z33" i="13"/>
  <c r="R33" i="13"/>
  <c r="B33" i="13"/>
  <c r="C33" i="13"/>
  <c r="D33" i="13"/>
  <c r="E33" i="13"/>
  <c r="F33" i="13"/>
  <c r="G33" i="13"/>
  <c r="H33" i="13"/>
  <c r="I33" i="13"/>
  <c r="EH32" i="13"/>
  <c r="DZ32" i="13"/>
  <c r="DR32" i="13"/>
  <c r="DJ32" i="13"/>
  <c r="DB32" i="13"/>
  <c r="CT32" i="13"/>
  <c r="CL32" i="13"/>
  <c r="CD32" i="13"/>
  <c r="BV32" i="13"/>
  <c r="BN32" i="13"/>
  <c r="BF32" i="13"/>
  <c r="AX32" i="13"/>
  <c r="AP32" i="13"/>
  <c r="AH32" i="13"/>
  <c r="Z32" i="13"/>
  <c r="R32" i="13"/>
  <c r="B32" i="13"/>
  <c r="C32" i="13"/>
  <c r="D32" i="13"/>
  <c r="E32" i="13"/>
  <c r="F32" i="13"/>
  <c r="G32" i="13"/>
  <c r="H32" i="13"/>
  <c r="I32" i="13"/>
  <c r="EH31" i="13"/>
  <c r="DZ31" i="13"/>
  <c r="DR31" i="13"/>
  <c r="DJ31" i="13"/>
  <c r="DB31" i="13"/>
  <c r="CT31" i="13"/>
  <c r="CL31" i="13"/>
  <c r="CD31" i="13"/>
  <c r="BV31" i="13"/>
  <c r="BN31" i="13"/>
  <c r="BF31" i="13"/>
  <c r="AX31" i="13"/>
  <c r="AP31" i="13"/>
  <c r="AH31" i="13"/>
  <c r="Z31" i="13"/>
  <c r="R31" i="13"/>
  <c r="B31" i="13"/>
  <c r="C31" i="13"/>
  <c r="D31" i="13"/>
  <c r="E31" i="13"/>
  <c r="F31" i="13"/>
  <c r="G31" i="13"/>
  <c r="H31" i="13"/>
  <c r="I31" i="13"/>
  <c r="EH28" i="13"/>
  <c r="DZ28" i="13"/>
  <c r="DR28" i="13"/>
  <c r="DJ28" i="13"/>
  <c r="DB28" i="13"/>
  <c r="CT28" i="13"/>
  <c r="CL28" i="13"/>
  <c r="CD28" i="13"/>
  <c r="BV28" i="13"/>
  <c r="BN28" i="13"/>
  <c r="BF28" i="13"/>
  <c r="AX28" i="13"/>
  <c r="AP28" i="13"/>
  <c r="AH28" i="13"/>
  <c r="Z28" i="13"/>
  <c r="R28" i="13"/>
  <c r="B28" i="13"/>
  <c r="C28" i="13"/>
  <c r="D28" i="13"/>
  <c r="E28" i="13"/>
  <c r="F28" i="13"/>
  <c r="G28" i="13"/>
  <c r="H28" i="13"/>
  <c r="I28" i="13"/>
  <c r="EH27" i="13"/>
  <c r="DZ27" i="13"/>
  <c r="DR27" i="13"/>
  <c r="DJ27" i="13"/>
  <c r="DB27" i="13"/>
  <c r="CT27" i="13"/>
  <c r="CL27" i="13"/>
  <c r="CD27" i="13"/>
  <c r="BV27" i="13"/>
  <c r="BN27" i="13"/>
  <c r="BF27" i="13"/>
  <c r="AX27" i="13"/>
  <c r="AP27" i="13"/>
  <c r="AH27" i="13"/>
  <c r="Z27" i="13"/>
  <c r="R27" i="13"/>
  <c r="B27" i="13"/>
  <c r="C27" i="13"/>
  <c r="D27" i="13"/>
  <c r="E27" i="13"/>
  <c r="F27" i="13"/>
  <c r="G27" i="13"/>
  <c r="H27" i="13"/>
  <c r="I27" i="13"/>
  <c r="EH26" i="13"/>
  <c r="DZ26" i="13"/>
  <c r="DR26" i="13"/>
  <c r="DJ26" i="13"/>
  <c r="DB26" i="13"/>
  <c r="CT26" i="13"/>
  <c r="CL26" i="13"/>
  <c r="CD26" i="13"/>
  <c r="BV26" i="13"/>
  <c r="BN26" i="13"/>
  <c r="BF26" i="13"/>
  <c r="AX26" i="13"/>
  <c r="AP26" i="13"/>
  <c r="AH26" i="13"/>
  <c r="Z26" i="13"/>
  <c r="R26" i="13"/>
  <c r="B26" i="13"/>
  <c r="C26" i="13"/>
  <c r="D26" i="13"/>
  <c r="E26" i="13"/>
  <c r="F26" i="13"/>
  <c r="G26" i="13"/>
  <c r="H26" i="13"/>
  <c r="I26" i="13"/>
  <c r="EH25" i="13"/>
  <c r="DZ25" i="13"/>
  <c r="DR25" i="13"/>
  <c r="DJ25" i="13"/>
  <c r="DB25" i="13"/>
  <c r="CT25" i="13"/>
  <c r="CL25" i="13"/>
  <c r="CD25" i="13"/>
  <c r="BV25" i="13"/>
  <c r="BN25" i="13"/>
  <c r="BF25" i="13"/>
  <c r="AX25" i="13"/>
  <c r="AP25" i="13"/>
  <c r="AH25" i="13"/>
  <c r="Z25" i="13"/>
  <c r="R25" i="13"/>
  <c r="B25" i="13"/>
  <c r="C25" i="13"/>
  <c r="D25" i="13"/>
  <c r="E25" i="13"/>
  <c r="F25" i="13"/>
  <c r="G25" i="13"/>
  <c r="H25" i="13"/>
  <c r="I25" i="13"/>
  <c r="EH24" i="13"/>
  <c r="DZ24" i="13"/>
  <c r="DR24" i="13"/>
  <c r="DJ24" i="13"/>
  <c r="DB24" i="13"/>
  <c r="CT24" i="13"/>
  <c r="CL24" i="13"/>
  <c r="CD24" i="13"/>
  <c r="BV24" i="13"/>
  <c r="BN24" i="13"/>
  <c r="BF24" i="13"/>
  <c r="AX24" i="13"/>
  <c r="AP24" i="13"/>
  <c r="AH24" i="13"/>
  <c r="Z24" i="13"/>
  <c r="R24" i="13"/>
  <c r="B24" i="13"/>
  <c r="C24" i="13"/>
  <c r="D24" i="13"/>
  <c r="E24" i="13"/>
  <c r="F24" i="13"/>
  <c r="G24" i="13"/>
  <c r="H24" i="13"/>
  <c r="I24" i="13"/>
  <c r="EH21" i="13"/>
  <c r="DZ21" i="13"/>
  <c r="DR21" i="13"/>
  <c r="DJ21" i="13"/>
  <c r="DB21" i="13"/>
  <c r="CT21" i="13"/>
  <c r="CL21" i="13"/>
  <c r="CD21" i="13"/>
  <c r="BV21" i="13"/>
  <c r="BN21" i="13"/>
  <c r="BF21" i="13"/>
  <c r="AX21" i="13"/>
  <c r="AP21" i="13"/>
  <c r="AH21" i="13"/>
  <c r="Z21" i="13"/>
  <c r="R21" i="13"/>
  <c r="B21" i="13"/>
  <c r="C21" i="13"/>
  <c r="D21" i="13"/>
  <c r="E21" i="13"/>
  <c r="F21" i="13"/>
  <c r="G21" i="13"/>
  <c r="H21" i="13"/>
  <c r="I21" i="13"/>
  <c r="EH20" i="13"/>
  <c r="DZ20" i="13"/>
  <c r="DR20" i="13"/>
  <c r="DJ20" i="13"/>
  <c r="DB20" i="13"/>
  <c r="CT20" i="13"/>
  <c r="CL20" i="13"/>
  <c r="CD20" i="13"/>
  <c r="BV20" i="13"/>
  <c r="BN20" i="13"/>
  <c r="BF20" i="13"/>
  <c r="AX20" i="13"/>
  <c r="AP20" i="13"/>
  <c r="AH20" i="13"/>
  <c r="Z20" i="13"/>
  <c r="R20" i="13"/>
  <c r="B20" i="13"/>
  <c r="C20" i="13"/>
  <c r="D20" i="13"/>
  <c r="E20" i="13"/>
  <c r="F20" i="13"/>
  <c r="G20" i="13"/>
  <c r="H20" i="13"/>
  <c r="I20" i="13"/>
  <c r="EH19" i="13"/>
  <c r="DZ19" i="13"/>
  <c r="DR19" i="13"/>
  <c r="DJ19" i="13"/>
  <c r="DB19" i="13"/>
  <c r="CT19" i="13"/>
  <c r="CL19" i="13"/>
  <c r="CD19" i="13"/>
  <c r="BV19" i="13"/>
  <c r="BN19" i="13"/>
  <c r="BF19" i="13"/>
  <c r="AX19" i="13"/>
  <c r="AP19" i="13"/>
  <c r="AH19" i="13"/>
  <c r="Z19" i="13"/>
  <c r="R19" i="13"/>
  <c r="B19" i="13"/>
  <c r="C19" i="13"/>
  <c r="D19" i="13"/>
  <c r="E19" i="13"/>
  <c r="F19" i="13"/>
  <c r="G19" i="13"/>
  <c r="H19" i="13"/>
  <c r="I19" i="13"/>
  <c r="EH18" i="13"/>
  <c r="DZ18" i="13"/>
  <c r="DR18" i="13"/>
  <c r="DJ18" i="13"/>
  <c r="DB18" i="13"/>
  <c r="CT18" i="13"/>
  <c r="CL18" i="13"/>
  <c r="CD18" i="13"/>
  <c r="BV18" i="13"/>
  <c r="BN18" i="13"/>
  <c r="BF18" i="13"/>
  <c r="AX18" i="13"/>
  <c r="AP18" i="13"/>
  <c r="AH18" i="13"/>
  <c r="Z18" i="13"/>
  <c r="R18" i="13"/>
  <c r="B18" i="13"/>
  <c r="C18" i="13"/>
  <c r="D18" i="13"/>
  <c r="E18" i="13"/>
  <c r="F18" i="13"/>
  <c r="G18" i="13"/>
  <c r="H18" i="13"/>
  <c r="I18" i="13"/>
  <c r="EH17" i="13"/>
  <c r="DZ17" i="13"/>
  <c r="DR17" i="13"/>
  <c r="DJ17" i="13"/>
  <c r="DB17" i="13"/>
  <c r="CT17" i="13"/>
  <c r="CL17" i="13"/>
  <c r="CD17" i="13"/>
  <c r="BV17" i="13"/>
  <c r="BN17" i="13"/>
  <c r="BF17" i="13"/>
  <c r="AX17" i="13"/>
  <c r="AP17" i="13"/>
  <c r="AH17" i="13"/>
  <c r="Z17" i="13"/>
  <c r="R17" i="13"/>
  <c r="B17" i="13"/>
  <c r="C17" i="13"/>
  <c r="D17" i="13"/>
  <c r="E17" i="13"/>
  <c r="F17" i="13"/>
  <c r="G17" i="13"/>
  <c r="H17" i="13"/>
  <c r="I17" i="13"/>
  <c r="EH15" i="13"/>
  <c r="DZ15" i="13"/>
  <c r="DR15" i="13"/>
  <c r="DJ15" i="13"/>
  <c r="DB15" i="13"/>
  <c r="CT15" i="13"/>
  <c r="CL15" i="13"/>
  <c r="CD15" i="13"/>
  <c r="BV15" i="13"/>
  <c r="BN15" i="13"/>
  <c r="BF15" i="13"/>
  <c r="AX15" i="13"/>
  <c r="AP15" i="13"/>
  <c r="AH15" i="13"/>
  <c r="Z15" i="13"/>
  <c r="R15" i="13"/>
  <c r="B15" i="13"/>
  <c r="C15" i="13"/>
  <c r="D15" i="13"/>
  <c r="E15" i="13"/>
  <c r="F15" i="13"/>
  <c r="G15" i="13"/>
  <c r="H15" i="13"/>
  <c r="I15" i="13"/>
  <c r="EH14" i="13"/>
  <c r="DZ14" i="13"/>
  <c r="DR14" i="13"/>
  <c r="DJ14" i="13"/>
  <c r="DB14" i="13"/>
  <c r="CT14" i="13"/>
  <c r="CL14" i="13"/>
  <c r="CD14" i="13"/>
  <c r="BV14" i="13"/>
  <c r="BN14" i="13"/>
  <c r="BF14" i="13"/>
  <c r="AX14" i="13"/>
  <c r="AP14" i="13"/>
  <c r="AH14" i="13"/>
  <c r="Z14" i="13"/>
  <c r="R14" i="13"/>
  <c r="B14" i="13"/>
  <c r="C14" i="13"/>
  <c r="D14" i="13"/>
  <c r="E14" i="13"/>
  <c r="F14" i="13"/>
  <c r="G14" i="13"/>
  <c r="H14" i="13"/>
  <c r="I14" i="13"/>
  <c r="EH13" i="13"/>
  <c r="DZ13" i="13"/>
  <c r="DR13" i="13"/>
  <c r="DJ13" i="13"/>
  <c r="DB13" i="13"/>
  <c r="CT13" i="13"/>
  <c r="CL13" i="13"/>
  <c r="CD13" i="13"/>
  <c r="BV13" i="13"/>
  <c r="BN13" i="13"/>
  <c r="BF13" i="13"/>
  <c r="AX13" i="13"/>
  <c r="AP13" i="13"/>
  <c r="AH13" i="13"/>
  <c r="Z13" i="13"/>
  <c r="R13" i="13"/>
  <c r="B13" i="13"/>
  <c r="C13" i="13"/>
  <c r="D13" i="13"/>
  <c r="E13" i="13"/>
  <c r="F13" i="13"/>
  <c r="G13" i="13"/>
  <c r="H13" i="13"/>
  <c r="I13" i="13"/>
  <c r="EH12" i="13"/>
  <c r="DZ12" i="13"/>
  <c r="DR12" i="13"/>
  <c r="DJ12" i="13"/>
  <c r="DB12" i="13"/>
  <c r="CT12" i="13"/>
  <c r="CL12" i="13"/>
  <c r="CD12" i="13"/>
  <c r="BV12" i="13"/>
  <c r="BN12" i="13"/>
  <c r="BF12" i="13"/>
  <c r="AX12" i="13"/>
  <c r="AP12" i="13"/>
  <c r="AH12" i="13"/>
  <c r="Z12" i="13"/>
  <c r="R12" i="13"/>
  <c r="B12" i="13"/>
  <c r="C12" i="13"/>
  <c r="D12" i="13"/>
  <c r="E12" i="13"/>
  <c r="F12" i="13"/>
  <c r="G12" i="13"/>
  <c r="H12" i="13"/>
  <c r="I12" i="13"/>
  <c r="EH11" i="13"/>
  <c r="DZ11" i="13"/>
  <c r="DR11" i="13"/>
  <c r="DJ11" i="13"/>
  <c r="DB11" i="13"/>
  <c r="CT11" i="13"/>
  <c r="CL11" i="13"/>
  <c r="CD11" i="13"/>
  <c r="BV11" i="13"/>
  <c r="BN11" i="13"/>
  <c r="BF11" i="13"/>
  <c r="AX11" i="13"/>
  <c r="AP11" i="13"/>
  <c r="AH11" i="13"/>
  <c r="Z11" i="13"/>
  <c r="R11" i="13"/>
  <c r="B11" i="13"/>
  <c r="C11" i="13"/>
  <c r="D11" i="13"/>
  <c r="E11" i="13"/>
  <c r="F11" i="13"/>
  <c r="G11" i="13"/>
  <c r="H11" i="13"/>
  <c r="I11" i="13"/>
  <c r="EH10" i="13"/>
  <c r="DZ10" i="13"/>
  <c r="DR10" i="13"/>
  <c r="DJ10" i="13"/>
  <c r="DB10" i="13"/>
  <c r="CT10" i="13"/>
  <c r="CL10" i="13"/>
  <c r="CD10" i="13"/>
  <c r="BV10" i="13"/>
  <c r="BN10" i="13"/>
  <c r="BF10" i="13"/>
  <c r="AX10" i="13"/>
  <c r="AP10" i="13"/>
  <c r="AH10" i="13"/>
  <c r="Z10" i="13"/>
  <c r="R10" i="13"/>
  <c r="B10" i="13"/>
  <c r="C10" i="13"/>
  <c r="D10" i="13"/>
  <c r="E10" i="13"/>
  <c r="F10" i="13"/>
  <c r="G10" i="13"/>
  <c r="H10" i="13"/>
  <c r="I10" i="13"/>
  <c r="EH8" i="13"/>
  <c r="DZ8" i="13"/>
  <c r="DR8" i="13"/>
  <c r="DJ8" i="13"/>
  <c r="DB8" i="13"/>
  <c r="CT8" i="13"/>
  <c r="CL8" i="13"/>
  <c r="CD8" i="13"/>
  <c r="BV8" i="13"/>
  <c r="BN8" i="13"/>
  <c r="BF8" i="13"/>
  <c r="AX8" i="13"/>
  <c r="AP8" i="13"/>
  <c r="AH8" i="13"/>
  <c r="Z8" i="13"/>
  <c r="R8" i="13"/>
  <c r="B8" i="13"/>
  <c r="C8" i="13"/>
  <c r="D8" i="13"/>
  <c r="E8" i="13"/>
  <c r="F8" i="13"/>
  <c r="G8" i="13"/>
  <c r="H8" i="13"/>
  <c r="I8" i="13"/>
  <c r="EH7" i="13"/>
  <c r="DZ7" i="13"/>
  <c r="DR7" i="13"/>
  <c r="DJ7" i="13"/>
  <c r="DB7" i="13"/>
  <c r="CT7" i="13"/>
  <c r="CL7" i="13"/>
  <c r="CD7" i="13"/>
  <c r="BV7" i="13"/>
  <c r="BN7" i="13"/>
  <c r="BF7" i="13"/>
  <c r="AX7" i="13"/>
  <c r="AP7" i="13"/>
  <c r="AH7" i="13"/>
  <c r="Z7" i="13"/>
  <c r="R7" i="13"/>
  <c r="B7" i="13"/>
  <c r="C7" i="13"/>
  <c r="D7" i="13"/>
  <c r="E7" i="13"/>
  <c r="F7" i="13"/>
  <c r="G7" i="13"/>
  <c r="H7" i="13"/>
  <c r="I7" i="13"/>
  <c r="EH6" i="13"/>
  <c r="DZ6" i="13"/>
  <c r="DR6" i="13"/>
  <c r="DJ6" i="13"/>
  <c r="DB6" i="13"/>
  <c r="CT6" i="13"/>
  <c r="CL6" i="13"/>
  <c r="CD6" i="13"/>
  <c r="BV6" i="13"/>
  <c r="BN6" i="13"/>
  <c r="BF6" i="13"/>
  <c r="AX6" i="13"/>
  <c r="AP6" i="13"/>
  <c r="AH6" i="13"/>
  <c r="Z6" i="13"/>
  <c r="R6" i="13"/>
  <c r="B6" i="13"/>
  <c r="C6" i="13"/>
  <c r="D6" i="13"/>
  <c r="E6" i="13"/>
  <c r="F6" i="13"/>
  <c r="G6" i="13"/>
  <c r="H6" i="13"/>
  <c r="I6" i="13"/>
  <c r="EA5" i="13"/>
  <c r="EB5" i="13"/>
  <c r="EC5" i="13"/>
  <c r="ED5" i="13"/>
  <c r="EE5" i="13"/>
  <c r="EF5" i="13"/>
  <c r="EG5" i="13"/>
  <c r="EH5" i="13"/>
  <c r="DZ5" i="13"/>
  <c r="DY5" i="13"/>
  <c r="DX5" i="13"/>
  <c r="DW5" i="13"/>
  <c r="DV5" i="13"/>
  <c r="DU5" i="13"/>
  <c r="DT5" i="13"/>
  <c r="DS5" i="13"/>
  <c r="DR5" i="13"/>
  <c r="DQ5" i="13"/>
  <c r="DP5" i="13"/>
  <c r="DO5" i="13"/>
  <c r="DN5" i="13"/>
  <c r="DM5" i="13"/>
  <c r="DL5" i="13"/>
  <c r="DK5" i="13"/>
  <c r="DJ5" i="13"/>
  <c r="DI5" i="13"/>
  <c r="DH5" i="13"/>
  <c r="DG5" i="13"/>
  <c r="DF5" i="13"/>
  <c r="DE5" i="13"/>
  <c r="DD5" i="13"/>
  <c r="DC5" i="13"/>
  <c r="DB5" i="13"/>
  <c r="DA5" i="13"/>
  <c r="CZ5" i="13"/>
  <c r="CY5" i="13"/>
  <c r="CX5" i="13"/>
  <c r="CW5" i="13"/>
  <c r="CV5" i="13"/>
  <c r="CU5" i="13"/>
  <c r="CT5" i="13"/>
  <c r="CS5" i="13"/>
  <c r="CR5" i="13"/>
  <c r="CQ5" i="13"/>
  <c r="CP5" i="13"/>
  <c r="CO5" i="13"/>
  <c r="CN5" i="13"/>
  <c r="CM5" i="13"/>
  <c r="CL5" i="13"/>
  <c r="CK5" i="13"/>
  <c r="CJ5" i="13"/>
  <c r="CI5" i="13"/>
  <c r="CH5" i="13"/>
  <c r="CG5" i="13"/>
  <c r="CF5" i="13"/>
  <c r="CE5" i="13"/>
  <c r="CD5" i="13"/>
  <c r="CC5" i="13"/>
  <c r="CB5" i="13"/>
  <c r="CA5" i="13"/>
  <c r="BZ5" i="13"/>
  <c r="BY5" i="13"/>
  <c r="BX5" i="13"/>
  <c r="BW5" i="13"/>
  <c r="BV5" i="13"/>
  <c r="BU5" i="13"/>
  <c r="BT5" i="13"/>
  <c r="BS5" i="13"/>
  <c r="BR5" i="13"/>
  <c r="BQ5" i="13"/>
  <c r="BP5" i="13"/>
  <c r="BO5" i="13"/>
  <c r="BN5" i="13"/>
  <c r="BM5" i="13"/>
  <c r="BL5" i="13"/>
  <c r="BK5" i="13"/>
  <c r="BJ5" i="13"/>
  <c r="BI5" i="13"/>
  <c r="BH5" i="13"/>
  <c r="BG5" i="13"/>
  <c r="BF5" i="13"/>
  <c r="BE5" i="13"/>
  <c r="BD5" i="13"/>
  <c r="BC5" i="13"/>
  <c r="BB5" i="13"/>
  <c r="BA5" i="13"/>
  <c r="AZ5" i="13"/>
  <c r="AY5" i="13"/>
  <c r="AX5" i="13"/>
  <c r="AW5" i="13"/>
  <c r="AV5" i="13"/>
  <c r="AU5" i="13"/>
  <c r="AT5" i="13"/>
  <c r="AS5" i="13"/>
  <c r="AR5" i="13"/>
  <c r="AQ5" i="13"/>
  <c r="AP5" i="13"/>
  <c r="AO5" i="13"/>
  <c r="AN5" i="13"/>
  <c r="AM5" i="13"/>
  <c r="AL5" i="13"/>
  <c r="AK5" i="13"/>
  <c r="AJ5" i="13"/>
  <c r="AI5" i="13"/>
  <c r="AA5" i="13"/>
  <c r="AB5" i="13"/>
  <c r="AC5" i="13"/>
  <c r="AD5" i="13"/>
  <c r="AE5" i="13"/>
  <c r="AF5" i="13"/>
  <c r="AG5" i="13"/>
  <c r="AH5" i="13"/>
  <c r="S5" i="13"/>
  <c r="T5" i="13"/>
  <c r="U5" i="13"/>
  <c r="V5" i="13"/>
  <c r="W5" i="13"/>
  <c r="X5" i="13"/>
  <c r="Y5" i="13"/>
  <c r="Z5" i="13"/>
  <c r="K5" i="13"/>
  <c r="L5" i="13"/>
  <c r="M5" i="13"/>
  <c r="N5" i="13"/>
  <c r="O5" i="13"/>
  <c r="P5" i="13"/>
  <c r="Q5" i="13"/>
  <c r="R5" i="13"/>
  <c r="B5" i="13"/>
  <c r="C5" i="13"/>
  <c r="D5" i="13"/>
  <c r="E5" i="13"/>
  <c r="F5" i="13"/>
  <c r="G5" i="13"/>
  <c r="H5" i="13"/>
  <c r="I5" i="13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7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B54" i="12" s="1"/>
  <c r="C4" i="12"/>
  <c r="E50" i="10"/>
  <c r="B50" i="10"/>
  <c r="C4" i="10"/>
  <c r="C5" i="10" s="1"/>
  <c r="C6" i="10" s="1"/>
  <c r="C7" i="10" s="1"/>
  <c r="C8" i="10" s="1"/>
  <c r="C9" i="10" s="1"/>
  <c r="C10" i="10" s="1"/>
  <c r="C11" i="10" s="1"/>
  <c r="C12" i="10" s="1"/>
  <c r="C13" i="10" s="1"/>
  <c r="C14" i="10" s="1"/>
  <c r="C15" i="10" s="1"/>
  <c r="C16" i="10" s="1"/>
  <c r="C17" i="10" s="1"/>
  <c r="C18" i="10" s="1"/>
  <c r="C19" i="10" s="1"/>
  <c r="C20" i="10" s="1"/>
  <c r="C21" i="10" s="1"/>
  <c r="C22" i="10" s="1"/>
  <c r="C23" i="10" s="1"/>
  <c r="C24" i="10" s="1"/>
  <c r="C25" i="10" s="1"/>
  <c r="C26" i="10" s="1"/>
  <c r="C27" i="10" s="1"/>
  <c r="C28" i="10" s="1"/>
  <c r="C29" i="10" s="1"/>
  <c r="C30" i="10" s="1"/>
  <c r="C31" i="10" s="1"/>
  <c r="C32" i="10" s="1"/>
  <c r="C33" i="10" s="1"/>
  <c r="C34" i="10" s="1"/>
  <c r="C35" i="10" s="1"/>
  <c r="C36" i="10" s="1"/>
  <c r="C37" i="10" s="1"/>
  <c r="C38" i="10" s="1"/>
  <c r="C39" i="10" s="1"/>
  <c r="C40" i="10" s="1"/>
  <c r="C41" i="10" s="1"/>
  <c r="C42" i="10" s="1"/>
  <c r="C43" i="10" s="1"/>
  <c r="C44" i="10" s="1"/>
  <c r="C45" i="10" s="1"/>
  <c r="C46" i="10" s="1"/>
  <c r="C47" i="10" s="1"/>
  <c r="C48" i="10" s="1"/>
  <c r="C49" i="10" s="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B48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D14" i="9"/>
  <c r="D15" i="9"/>
  <c r="D18" i="9"/>
  <c r="D19" i="9"/>
  <c r="D20" i="9"/>
  <c r="D21" i="9"/>
  <c r="D22" i="9"/>
  <c r="D25" i="9"/>
  <c r="D26" i="9"/>
  <c r="D27" i="9"/>
  <c r="D28" i="9"/>
  <c r="D29" i="9"/>
  <c r="D32" i="9"/>
  <c r="D33" i="9"/>
  <c r="D34" i="9"/>
  <c r="D35" i="9"/>
  <c r="D36" i="9"/>
  <c r="D37" i="9"/>
  <c r="D40" i="9"/>
  <c r="D41" i="9"/>
  <c r="D42" i="9"/>
  <c r="D43" i="9"/>
  <c r="D44" i="9"/>
  <c r="D5" i="9"/>
  <c r="F5" i="10"/>
  <c r="F6" i="10" s="1"/>
  <c r="F7" i="10" s="1"/>
  <c r="F8" i="10" s="1"/>
  <c r="F9" i="10" s="1"/>
  <c r="F10" i="10" s="1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F36" i="10" s="1"/>
  <c r="F37" i="10" s="1"/>
  <c r="F38" i="10" s="1"/>
  <c r="F39" i="10" s="1"/>
  <c r="F40" i="10" s="1"/>
  <c r="F41" i="10" s="1"/>
  <c r="F42" i="10" s="1"/>
  <c r="F43" i="10" s="1"/>
  <c r="F44" i="10" s="1"/>
  <c r="F45" i="10" s="1"/>
  <c r="F46" i="10" s="1"/>
  <c r="F47" i="10" s="1"/>
  <c r="F48" i="10" s="1"/>
  <c r="F49" i="10" s="1"/>
  <c r="Q25" i="14"/>
  <c r="H16" i="10"/>
  <c r="BR7" i="4"/>
  <c r="BR8" i="4"/>
  <c r="BR11" i="4"/>
  <c r="BR12" i="4"/>
  <c r="BR13" i="4"/>
  <c r="BR14" i="4"/>
  <c r="BR15" i="4"/>
  <c r="BR18" i="4"/>
  <c r="BR19" i="4"/>
  <c r="BR20" i="4"/>
  <c r="BR21" i="4"/>
  <c r="BR22" i="4"/>
  <c r="BR26" i="4"/>
  <c r="BR27" i="4"/>
  <c r="BR28" i="4"/>
  <c r="BR29" i="4"/>
  <c r="BR32" i="4"/>
  <c r="BR33" i="4"/>
  <c r="BR34" i="4"/>
  <c r="BR35" i="4"/>
  <c r="BR36" i="4"/>
  <c r="BR39" i="4"/>
  <c r="BR40" i="4"/>
  <c r="BR41" i="4"/>
  <c r="BR42" i="4"/>
  <c r="BR43" i="4"/>
  <c r="BR46" i="4"/>
  <c r="BR47" i="4"/>
  <c r="BR48" i="4"/>
  <c r="BR49" i="4"/>
  <c r="BR50" i="4"/>
  <c r="BR51" i="4"/>
  <c r="BR53" i="4"/>
  <c r="BR54" i="4"/>
  <c r="BQ54" i="4"/>
  <c r="BP54" i="4"/>
  <c r="BN54" i="4"/>
  <c r="BM54" i="4"/>
  <c r="BL54" i="4"/>
  <c r="BK54" i="4"/>
  <c r="BJ7" i="4"/>
  <c r="BJ8" i="4"/>
  <c r="BJ11" i="4"/>
  <c r="BJ12" i="4"/>
  <c r="BJ13" i="4"/>
  <c r="BJ14" i="4"/>
  <c r="BJ15" i="4"/>
  <c r="BJ18" i="4"/>
  <c r="BJ19" i="4"/>
  <c r="BJ20" i="4"/>
  <c r="BJ21" i="4"/>
  <c r="BJ22" i="4"/>
  <c r="BJ26" i="4"/>
  <c r="BJ27" i="4"/>
  <c r="BJ28" i="4"/>
  <c r="BJ29" i="4"/>
  <c r="BJ32" i="4"/>
  <c r="BJ33" i="4"/>
  <c r="BJ34" i="4"/>
  <c r="BJ35" i="4"/>
  <c r="BJ36" i="4"/>
  <c r="BJ39" i="4"/>
  <c r="BJ40" i="4"/>
  <c r="BJ41" i="4"/>
  <c r="BJ42" i="4"/>
  <c r="BJ43" i="4"/>
  <c r="BJ46" i="4"/>
  <c r="BJ47" i="4"/>
  <c r="BJ48" i="4"/>
  <c r="BJ49" i="4"/>
  <c r="BJ50" i="4"/>
  <c r="BJ51" i="4"/>
  <c r="BJ53" i="4"/>
  <c r="BJ54" i="4"/>
  <c r="BI54" i="4"/>
  <c r="BH54" i="4"/>
  <c r="BF54" i="4"/>
  <c r="BE54" i="4"/>
  <c r="BD54" i="4"/>
  <c r="BC54" i="4"/>
  <c r="BB7" i="4"/>
  <c r="BB8" i="4"/>
  <c r="BB11" i="4"/>
  <c r="BB12" i="4"/>
  <c r="BB13" i="4"/>
  <c r="BB14" i="4"/>
  <c r="BB15" i="4"/>
  <c r="BB18" i="4"/>
  <c r="BB19" i="4"/>
  <c r="BB20" i="4"/>
  <c r="BB21" i="4"/>
  <c r="BB22" i="4"/>
  <c r="BB26" i="4"/>
  <c r="BB27" i="4"/>
  <c r="BB28" i="4"/>
  <c r="BB29" i="4"/>
  <c r="BB32" i="4"/>
  <c r="BB33" i="4"/>
  <c r="BB34" i="4"/>
  <c r="BB35" i="4"/>
  <c r="BB36" i="4"/>
  <c r="BB39" i="4"/>
  <c r="BB40" i="4"/>
  <c r="BB41" i="4"/>
  <c r="BB42" i="4"/>
  <c r="BB43" i="4"/>
  <c r="BB46" i="4"/>
  <c r="BB47" i="4"/>
  <c r="BB48" i="4"/>
  <c r="BB49" i="4"/>
  <c r="BB50" i="4"/>
  <c r="BB51" i="4"/>
  <c r="BB53" i="4"/>
  <c r="BB54" i="4"/>
  <c r="BA54" i="4"/>
  <c r="AZ54" i="4"/>
  <c r="AX54" i="4"/>
  <c r="AW54" i="4"/>
  <c r="AV54" i="4"/>
  <c r="AU54" i="4"/>
  <c r="AT7" i="4"/>
  <c r="AT8" i="4"/>
  <c r="AT11" i="4"/>
  <c r="AT12" i="4"/>
  <c r="AT13" i="4"/>
  <c r="AT14" i="4"/>
  <c r="AT15" i="4"/>
  <c r="AT18" i="4"/>
  <c r="AT19" i="4"/>
  <c r="AT20" i="4"/>
  <c r="AT21" i="4"/>
  <c r="AT22" i="4"/>
  <c r="AT26" i="4"/>
  <c r="AT27" i="4"/>
  <c r="AT28" i="4"/>
  <c r="AT29" i="4"/>
  <c r="AT32" i="4"/>
  <c r="AT33" i="4"/>
  <c r="AT34" i="4"/>
  <c r="AT35" i="4"/>
  <c r="AT36" i="4"/>
  <c r="AT39" i="4"/>
  <c r="AT40" i="4"/>
  <c r="AT41" i="4"/>
  <c r="AT42" i="4"/>
  <c r="AT43" i="4"/>
  <c r="AT46" i="4"/>
  <c r="AT47" i="4"/>
  <c r="AT48" i="4"/>
  <c r="AT49" i="4"/>
  <c r="AT50" i="4"/>
  <c r="AT51" i="4"/>
  <c r="AT53" i="4"/>
  <c r="AT54" i="4"/>
  <c r="AS54" i="4"/>
  <c r="AR54" i="4"/>
  <c r="AP54" i="4"/>
  <c r="AO54" i="4"/>
  <c r="AN54" i="4"/>
  <c r="AM54" i="4"/>
  <c r="AL7" i="4"/>
  <c r="AL8" i="4"/>
  <c r="AL11" i="4"/>
  <c r="AL12" i="4"/>
  <c r="AL13" i="4"/>
  <c r="AL14" i="4"/>
  <c r="AL15" i="4"/>
  <c r="AL18" i="4"/>
  <c r="AL19" i="4"/>
  <c r="AL20" i="4"/>
  <c r="AL21" i="4"/>
  <c r="AL22" i="4"/>
  <c r="AL26" i="4"/>
  <c r="AL27" i="4"/>
  <c r="AL28" i="4"/>
  <c r="AL29" i="4"/>
  <c r="AL32" i="4"/>
  <c r="AL33" i="4"/>
  <c r="AL34" i="4"/>
  <c r="AL35" i="4"/>
  <c r="AL36" i="4"/>
  <c r="AL39" i="4"/>
  <c r="AL40" i="4"/>
  <c r="AL41" i="4"/>
  <c r="AL42" i="4"/>
  <c r="AL43" i="4"/>
  <c r="AL46" i="4"/>
  <c r="AL47" i="4"/>
  <c r="AL48" i="4"/>
  <c r="AL49" i="4"/>
  <c r="AL50" i="4"/>
  <c r="AL51" i="4"/>
  <c r="AL53" i="4"/>
  <c r="AL54" i="4"/>
  <c r="AK54" i="4"/>
  <c r="AJ54" i="4"/>
  <c r="AH54" i="4"/>
  <c r="AG54" i="4"/>
  <c r="AF54" i="4"/>
  <c r="AE54" i="4"/>
  <c r="AD7" i="4"/>
  <c r="AD8" i="4"/>
  <c r="AD11" i="4"/>
  <c r="AD12" i="4"/>
  <c r="AD13" i="4"/>
  <c r="AD14" i="4"/>
  <c r="AD15" i="4"/>
  <c r="AD18" i="4"/>
  <c r="AD19" i="4"/>
  <c r="AD20" i="4"/>
  <c r="AD21" i="4"/>
  <c r="AD22" i="4"/>
  <c r="AD26" i="4"/>
  <c r="AD27" i="4"/>
  <c r="AD28" i="4"/>
  <c r="AD29" i="4"/>
  <c r="AD32" i="4"/>
  <c r="AD33" i="4"/>
  <c r="AD34" i="4"/>
  <c r="AD35" i="4"/>
  <c r="AD36" i="4"/>
  <c r="AD39" i="4"/>
  <c r="AD40" i="4"/>
  <c r="AD41" i="4"/>
  <c r="AD42" i="4"/>
  <c r="AD43" i="4"/>
  <c r="AD46" i="4"/>
  <c r="AD47" i="4"/>
  <c r="AD48" i="4"/>
  <c r="AD49" i="4"/>
  <c r="AD50" i="4"/>
  <c r="AD51" i="4"/>
  <c r="AD53" i="4"/>
  <c r="AD54" i="4"/>
  <c r="AC54" i="4"/>
  <c r="AB54" i="4"/>
  <c r="Z54" i="4"/>
  <c r="Y54" i="4"/>
  <c r="X54" i="4"/>
  <c r="W54" i="4"/>
  <c r="V7" i="4"/>
  <c r="V8" i="4"/>
  <c r="V11" i="4"/>
  <c r="V12" i="4"/>
  <c r="V13" i="4"/>
  <c r="V14" i="4"/>
  <c r="V15" i="4"/>
  <c r="V18" i="4"/>
  <c r="V19" i="4"/>
  <c r="V20" i="4"/>
  <c r="V21" i="4"/>
  <c r="V22" i="4"/>
  <c r="V26" i="4"/>
  <c r="V27" i="4"/>
  <c r="V28" i="4"/>
  <c r="V29" i="4"/>
  <c r="V32" i="4"/>
  <c r="V33" i="4"/>
  <c r="V34" i="4"/>
  <c r="V35" i="4"/>
  <c r="V36" i="4"/>
  <c r="V39" i="4"/>
  <c r="V40" i="4"/>
  <c r="V41" i="4"/>
  <c r="V42" i="4"/>
  <c r="V43" i="4"/>
  <c r="V46" i="4"/>
  <c r="V47" i="4"/>
  <c r="V48" i="4"/>
  <c r="V49" i="4"/>
  <c r="V50" i="4"/>
  <c r="V51" i="4"/>
  <c r="V53" i="4"/>
  <c r="V54" i="4"/>
  <c r="U54" i="4"/>
  <c r="T54" i="4"/>
  <c r="R54" i="4"/>
  <c r="Q54" i="4"/>
  <c r="P54" i="4"/>
  <c r="O54" i="4"/>
  <c r="F7" i="4"/>
  <c r="F8" i="4"/>
  <c r="F11" i="4"/>
  <c r="F12" i="4"/>
  <c r="B13" i="4"/>
  <c r="F13" i="4"/>
  <c r="B14" i="4"/>
  <c r="F14" i="4"/>
  <c r="F15" i="4"/>
  <c r="B18" i="4"/>
  <c r="F18" i="4"/>
  <c r="B19" i="4"/>
  <c r="F19" i="4"/>
  <c r="F20" i="4"/>
  <c r="B21" i="4"/>
  <c r="F21" i="4"/>
  <c r="B22" i="4"/>
  <c r="F22" i="4"/>
  <c r="F25" i="4"/>
  <c r="B26" i="4"/>
  <c r="F26" i="4"/>
  <c r="B27" i="4"/>
  <c r="F27" i="4"/>
  <c r="B28" i="4"/>
  <c r="F28" i="4"/>
  <c r="B29" i="4"/>
  <c r="F29" i="4"/>
  <c r="B32" i="4"/>
  <c r="F32" i="4"/>
  <c r="B33" i="4"/>
  <c r="F33" i="4"/>
  <c r="B34" i="4"/>
  <c r="F34" i="4"/>
  <c r="B35" i="4"/>
  <c r="F35" i="4"/>
  <c r="B36" i="4"/>
  <c r="F36" i="4"/>
  <c r="B39" i="4"/>
  <c r="F39" i="4"/>
  <c r="B40" i="4"/>
  <c r="F40" i="4"/>
  <c r="B41" i="4"/>
  <c r="F41" i="4"/>
  <c r="B42" i="4"/>
  <c r="F42" i="4"/>
  <c r="B43" i="4"/>
  <c r="F43" i="4"/>
  <c r="B46" i="4"/>
  <c r="F46" i="4"/>
  <c r="B47" i="4"/>
  <c r="F47" i="4"/>
  <c r="B48" i="4"/>
  <c r="F48" i="4"/>
  <c r="F49" i="4"/>
  <c r="F50" i="4"/>
  <c r="F51" i="4"/>
  <c r="F53" i="4"/>
  <c r="F54" i="4"/>
  <c r="H3" i="4"/>
  <c r="N7" i="4"/>
  <c r="N8" i="4"/>
  <c r="N11" i="4"/>
  <c r="N12" i="4"/>
  <c r="N13" i="4"/>
  <c r="N14" i="4"/>
  <c r="N15" i="4"/>
  <c r="N18" i="4"/>
  <c r="N19" i="4"/>
  <c r="N20" i="4"/>
  <c r="N21" i="4"/>
  <c r="N22" i="4"/>
  <c r="N26" i="4"/>
  <c r="N27" i="4"/>
  <c r="N28" i="4"/>
  <c r="N29" i="4"/>
  <c r="N32" i="4"/>
  <c r="N33" i="4"/>
  <c r="N34" i="4"/>
  <c r="N35" i="4"/>
  <c r="N36" i="4"/>
  <c r="N39" i="4"/>
  <c r="N40" i="4"/>
  <c r="N41" i="4"/>
  <c r="N42" i="4"/>
  <c r="N43" i="4"/>
  <c r="N46" i="4"/>
  <c r="N47" i="4"/>
  <c r="N48" i="4"/>
  <c r="N49" i="4"/>
  <c r="N50" i="4"/>
  <c r="N51" i="4"/>
  <c r="N53" i="4"/>
  <c r="N54" i="4"/>
  <c r="M54" i="4"/>
  <c r="L54" i="4"/>
  <c r="J54" i="4"/>
  <c r="I54" i="4"/>
  <c r="H54" i="4"/>
  <c r="G54" i="4"/>
  <c r="E54" i="4"/>
  <c r="D54" i="4"/>
  <c r="C54" i="4"/>
  <c r="B54" i="4"/>
  <c r="I5" i="10" l="1"/>
  <c r="J4" i="29" s="1"/>
  <c r="H10" i="10"/>
  <c r="H18" i="10"/>
  <c r="F54" i="12"/>
  <c r="E54" i="12"/>
  <c r="G54" i="14"/>
  <c r="J8" i="14"/>
  <c r="M7" i="14"/>
  <c r="S49" i="14"/>
  <c r="Q47" i="14"/>
  <c r="A54" i="12"/>
  <c r="Q46" i="14"/>
  <c r="S46" i="14"/>
  <c r="S47" i="14"/>
  <c r="S44" i="14"/>
  <c r="Q44" i="14"/>
  <c r="Q43" i="14"/>
  <c r="Q40" i="14"/>
  <c r="H47" i="11"/>
  <c r="Q39" i="14"/>
  <c r="Q38" i="14"/>
  <c r="P37" i="14"/>
  <c r="Q37" i="14"/>
  <c r="Q36" i="14"/>
  <c r="Q35" i="14"/>
  <c r="P36" i="14"/>
  <c r="Q32" i="14"/>
  <c r="P35" i="14"/>
  <c r="Q31" i="14"/>
  <c r="P32" i="14"/>
  <c r="H17" i="11"/>
  <c r="H38" i="11"/>
  <c r="H37" i="11"/>
  <c r="H44" i="11"/>
  <c r="H32" i="11"/>
  <c r="H45" i="11"/>
  <c r="Q30" i="14"/>
  <c r="P31" i="14"/>
  <c r="H30" i="11"/>
  <c r="Q29" i="14"/>
  <c r="P30" i="14"/>
  <c r="H29" i="11"/>
  <c r="Q28" i="14"/>
  <c r="P29" i="14"/>
  <c r="H28" i="11"/>
  <c r="P28" i="14"/>
  <c r="P24" i="14"/>
  <c r="P25" i="14"/>
  <c r="H25" i="11"/>
  <c r="H12" i="11"/>
  <c r="H10" i="11"/>
  <c r="H35" i="11"/>
  <c r="H46" i="11"/>
  <c r="H31" i="11"/>
  <c r="H16" i="11"/>
  <c r="H11" i="11"/>
  <c r="H36" i="11"/>
  <c r="H14" i="11"/>
  <c r="H15" i="11"/>
  <c r="H40" i="11"/>
  <c r="H39" i="11"/>
  <c r="H24" i="11"/>
  <c r="H23" i="11"/>
  <c r="P23" i="14"/>
  <c r="H24" i="10"/>
  <c r="P22" i="14"/>
  <c r="H23" i="10"/>
  <c r="H22" i="11"/>
  <c r="F11" i="14"/>
  <c r="F12" i="14"/>
  <c r="C13" i="14"/>
  <c r="E48" i="14"/>
  <c r="E49" i="14" s="1"/>
  <c r="E50" i="14" s="1"/>
  <c r="U8" i="14"/>
  <c r="U7" i="14"/>
  <c r="N7" i="14"/>
  <c r="N8" i="14"/>
  <c r="U9" i="14"/>
  <c r="D45" i="9"/>
  <c r="E4" i="9" s="1"/>
  <c r="H21" i="11"/>
  <c r="H8" i="11"/>
  <c r="H7" i="11"/>
  <c r="H9" i="11"/>
  <c r="H5" i="11"/>
  <c r="D6" i="6"/>
  <c r="B4" i="37" s="1"/>
  <c r="C6" i="6"/>
  <c r="B3" i="37" s="1"/>
  <c r="H22" i="10"/>
  <c r="H19" i="10"/>
  <c r="E6" i="6"/>
  <c r="H18" i="11"/>
  <c r="C16" i="37" l="1"/>
  <c r="C15" i="37"/>
  <c r="C14" i="37"/>
  <c r="F4" i="37"/>
  <c r="G4" i="37" s="1"/>
  <c r="B5" i="37"/>
  <c r="D5" i="37" s="1"/>
  <c r="D3" i="37"/>
  <c r="F53" i="6"/>
  <c r="I6" i="10"/>
  <c r="J5" i="29" s="1"/>
  <c r="H26" i="10"/>
  <c r="S25" i="14"/>
  <c r="S37" i="14"/>
  <c r="H38" i="10"/>
  <c r="S30" i="14"/>
  <c r="H31" i="10"/>
  <c r="H25" i="10"/>
  <c r="S24" i="14"/>
  <c r="T24" i="14" s="1"/>
  <c r="S38" i="14"/>
  <c r="H39" i="10"/>
  <c r="S31" i="14"/>
  <c r="H32" i="10"/>
  <c r="H33" i="10"/>
  <c r="S32" i="14"/>
  <c r="S28" i="14"/>
  <c r="H29" i="10"/>
  <c r="S45" i="14"/>
  <c r="H46" i="10"/>
  <c r="H30" i="10"/>
  <c r="S29" i="14"/>
  <c r="S36" i="14"/>
  <c r="H37" i="10"/>
  <c r="H44" i="10"/>
  <c r="S43" i="14"/>
  <c r="J9" i="14"/>
  <c r="M8" i="14"/>
  <c r="H4" i="11"/>
  <c r="I4" i="11" s="1"/>
  <c r="P54" i="14"/>
  <c r="R22" i="14"/>
  <c r="Q45" i="14"/>
  <c r="Q54" i="14" s="1"/>
  <c r="H45" i="10"/>
  <c r="S39" i="14"/>
  <c r="H40" i="10"/>
  <c r="H36" i="10"/>
  <c r="S35" i="14"/>
  <c r="C14" i="14"/>
  <c r="F13" i="14"/>
  <c r="E51" i="14"/>
  <c r="U10" i="14"/>
  <c r="D55" i="6"/>
  <c r="J47" i="29"/>
  <c r="G4" i="9"/>
  <c r="B12" i="37" l="1"/>
  <c r="B13" i="37"/>
  <c r="B11" i="37"/>
  <c r="B8" i="37"/>
  <c r="B10" i="37"/>
  <c r="B9" i="37"/>
  <c r="F3" i="37"/>
  <c r="B9" i="1"/>
  <c r="I7" i="10"/>
  <c r="J6" i="29" s="1"/>
  <c r="R23" i="14"/>
  <c r="T25" i="14"/>
  <c r="T26" i="14" s="1"/>
  <c r="T27" i="14" s="1"/>
  <c r="T28" i="14" s="1"/>
  <c r="T29" i="14" s="1"/>
  <c r="T30" i="14" s="1"/>
  <c r="T31" i="14" s="1"/>
  <c r="T32" i="14" s="1"/>
  <c r="T33" i="14" s="1"/>
  <c r="T34" i="14" s="1"/>
  <c r="T35" i="14" s="1"/>
  <c r="T36" i="14" s="1"/>
  <c r="T37" i="14" s="1"/>
  <c r="T38" i="14" s="1"/>
  <c r="T39" i="14" s="1"/>
  <c r="T40" i="14" s="1"/>
  <c r="T41" i="14" s="1"/>
  <c r="T42" i="14" s="1"/>
  <c r="T43" i="14" s="1"/>
  <c r="T44" i="14" s="1"/>
  <c r="T45" i="14" s="1"/>
  <c r="T46" i="14" s="1"/>
  <c r="T47" i="14" s="1"/>
  <c r="T48" i="14" s="1"/>
  <c r="T49" i="14" s="1"/>
  <c r="T50" i="14" s="1"/>
  <c r="T51" i="14" s="1"/>
  <c r="T52" i="14" s="1"/>
  <c r="S54" i="14"/>
  <c r="J10" i="14"/>
  <c r="M9" i="14"/>
  <c r="N9" i="14"/>
  <c r="I4" i="12"/>
  <c r="K4" i="12" s="1"/>
  <c r="I4" i="29"/>
  <c r="K4" i="29" s="1"/>
  <c r="I5" i="11"/>
  <c r="I6" i="11" s="1"/>
  <c r="H48" i="11"/>
  <c r="J46" i="29"/>
  <c r="R25" i="14"/>
  <c r="I47" i="12"/>
  <c r="H50" i="10"/>
  <c r="C15" i="14"/>
  <c r="G14" i="14"/>
  <c r="F14" i="14"/>
  <c r="E52" i="14"/>
  <c r="U11" i="14"/>
  <c r="D11" i="37" l="1"/>
  <c r="E11" i="37" s="1"/>
  <c r="F11" i="37"/>
  <c r="G11" i="37" s="1"/>
  <c r="F10" i="37"/>
  <c r="G10" i="37" s="1"/>
  <c r="D10" i="37"/>
  <c r="E10" i="37" s="1"/>
  <c r="F13" i="37"/>
  <c r="G13" i="37" s="1"/>
  <c r="D13" i="37"/>
  <c r="E13" i="37" s="1"/>
  <c r="F5" i="37"/>
  <c r="G5" i="37" s="1"/>
  <c r="G3" i="37"/>
  <c r="F9" i="37"/>
  <c r="G9" i="37" s="1"/>
  <c r="D9" i="37"/>
  <c r="E9" i="37" s="1"/>
  <c r="F8" i="37"/>
  <c r="G8" i="37" s="1"/>
  <c r="D8" i="37"/>
  <c r="E8" i="37" s="1"/>
  <c r="D12" i="37"/>
  <c r="E12" i="37" s="1"/>
  <c r="F12" i="37"/>
  <c r="G12" i="37" s="1"/>
  <c r="F12" i="1"/>
  <c r="E11" i="1"/>
  <c r="I8" i="10"/>
  <c r="J7" i="29" s="1"/>
  <c r="R24" i="14"/>
  <c r="T53" i="14"/>
  <c r="J11" i="14"/>
  <c r="M10" i="14"/>
  <c r="N10" i="14"/>
  <c r="I6" i="12"/>
  <c r="K6" i="12" s="1"/>
  <c r="I6" i="29"/>
  <c r="K6" i="29" s="1"/>
  <c r="I5" i="12"/>
  <c r="K5" i="12" s="1"/>
  <c r="I5" i="29"/>
  <c r="K5" i="29" s="1"/>
  <c r="R26" i="14"/>
  <c r="U25" i="14"/>
  <c r="C16" i="14"/>
  <c r="F15" i="14"/>
  <c r="E53" i="14"/>
  <c r="U12" i="14"/>
  <c r="I7" i="11"/>
  <c r="I9" i="10" l="1"/>
  <c r="J8" i="29" s="1"/>
  <c r="U24" i="14"/>
  <c r="J12" i="14"/>
  <c r="M11" i="14"/>
  <c r="N11" i="14"/>
  <c r="I7" i="12"/>
  <c r="K7" i="12" s="1"/>
  <c r="I7" i="29"/>
  <c r="K7" i="29" s="1"/>
  <c r="U26" i="14"/>
  <c r="R27" i="14"/>
  <c r="I10" i="10"/>
  <c r="J9" i="29" s="1"/>
  <c r="C17" i="14"/>
  <c r="F16" i="14"/>
  <c r="U13" i="14"/>
  <c r="I8" i="11"/>
  <c r="I8" i="29" s="1"/>
  <c r="K8" i="29" s="1"/>
  <c r="J13" i="14" l="1"/>
  <c r="N12" i="14"/>
  <c r="M12" i="14"/>
  <c r="R28" i="14"/>
  <c r="U27" i="14"/>
  <c r="I9" i="11"/>
  <c r="I10" i="11" s="1"/>
  <c r="I8" i="12"/>
  <c r="K8" i="12" s="1"/>
  <c r="I11" i="10"/>
  <c r="J10" i="29" s="1"/>
  <c r="C18" i="14"/>
  <c r="F17" i="14"/>
  <c r="U14" i="14"/>
  <c r="J14" i="14" l="1"/>
  <c r="N13" i="14"/>
  <c r="M13" i="14"/>
  <c r="I10" i="12"/>
  <c r="K10" i="12" s="1"/>
  <c r="I10" i="29"/>
  <c r="K10" i="29" s="1"/>
  <c r="I9" i="12"/>
  <c r="K9" i="12" s="1"/>
  <c r="I9" i="29"/>
  <c r="K9" i="29" s="1"/>
  <c r="U28" i="14"/>
  <c r="R29" i="14"/>
  <c r="I12" i="10"/>
  <c r="J11" i="29" s="1"/>
  <c r="C19" i="14"/>
  <c r="F18" i="14"/>
  <c r="U15" i="14"/>
  <c r="I11" i="11"/>
  <c r="J15" i="14" l="1"/>
  <c r="M14" i="14"/>
  <c r="N14" i="14"/>
  <c r="I11" i="12"/>
  <c r="K11" i="12" s="1"/>
  <c r="I11" i="29"/>
  <c r="K11" i="29" s="1"/>
  <c r="R30" i="14"/>
  <c r="U29" i="14"/>
  <c r="I13" i="10"/>
  <c r="J12" i="29" s="1"/>
  <c r="C20" i="14"/>
  <c r="F19" i="14"/>
  <c r="U16" i="14"/>
  <c r="I12" i="11"/>
  <c r="J16" i="14" l="1"/>
  <c r="N15" i="14"/>
  <c r="M15" i="14"/>
  <c r="I12" i="12"/>
  <c r="K12" i="12" s="1"/>
  <c r="I12" i="29"/>
  <c r="K12" i="29" s="1"/>
  <c r="U30" i="14"/>
  <c r="R31" i="14"/>
  <c r="I14" i="10"/>
  <c r="J13" i="29" s="1"/>
  <c r="C21" i="14"/>
  <c r="F20" i="14"/>
  <c r="U17" i="14"/>
  <c r="I13" i="11"/>
  <c r="J17" i="14" l="1"/>
  <c r="M16" i="14"/>
  <c r="N16" i="14"/>
  <c r="I13" i="12"/>
  <c r="K13" i="12" s="1"/>
  <c r="I13" i="29"/>
  <c r="K13" i="29" s="1"/>
  <c r="R32" i="14"/>
  <c r="U31" i="14"/>
  <c r="I15" i="10"/>
  <c r="J14" i="29" s="1"/>
  <c r="C22" i="14"/>
  <c r="F21" i="14"/>
  <c r="U18" i="14"/>
  <c r="I14" i="11"/>
  <c r="J18" i="14" l="1"/>
  <c r="M17" i="14"/>
  <c r="N17" i="14"/>
  <c r="I14" i="12"/>
  <c r="K14" i="12" s="1"/>
  <c r="I14" i="29"/>
  <c r="K14" i="29" s="1"/>
  <c r="R33" i="14"/>
  <c r="U32" i="14"/>
  <c r="I16" i="10"/>
  <c r="J15" i="29" s="1"/>
  <c r="C23" i="14"/>
  <c r="F22" i="14"/>
  <c r="U19" i="14"/>
  <c r="I15" i="11"/>
  <c r="J19" i="14" l="1"/>
  <c r="N18" i="14"/>
  <c r="M18" i="14"/>
  <c r="I15" i="12"/>
  <c r="K15" i="12" s="1"/>
  <c r="I15" i="29"/>
  <c r="K15" i="29" s="1"/>
  <c r="U33" i="14"/>
  <c r="R34" i="14"/>
  <c r="I17" i="10"/>
  <c r="J16" i="29" s="1"/>
  <c r="C24" i="14"/>
  <c r="F23" i="14"/>
  <c r="U20" i="14"/>
  <c r="I16" i="11"/>
  <c r="I16" i="29" s="1"/>
  <c r="K16" i="29" l="1"/>
  <c r="J20" i="14"/>
  <c r="M19" i="14"/>
  <c r="N19" i="14"/>
  <c r="U34" i="14"/>
  <c r="R35" i="14"/>
  <c r="I17" i="11"/>
  <c r="I17" i="29" s="1"/>
  <c r="I16" i="12"/>
  <c r="K16" i="12" s="1"/>
  <c r="I18" i="10"/>
  <c r="J17" i="29" s="1"/>
  <c r="C25" i="14"/>
  <c r="F24" i="14"/>
  <c r="K17" i="29" l="1"/>
  <c r="J21" i="14"/>
  <c r="N20" i="14"/>
  <c r="M20" i="14"/>
  <c r="U35" i="14"/>
  <c r="R36" i="14"/>
  <c r="I18" i="11"/>
  <c r="I18" i="29" s="1"/>
  <c r="I17" i="12"/>
  <c r="K17" i="12" s="1"/>
  <c r="I19" i="10"/>
  <c r="J18" i="29" s="1"/>
  <c r="U21" i="14"/>
  <c r="C26" i="14"/>
  <c r="F25" i="14"/>
  <c r="K18" i="29" l="1"/>
  <c r="J22" i="14"/>
  <c r="M21" i="14"/>
  <c r="N21" i="14"/>
  <c r="U36" i="14"/>
  <c r="R37" i="14"/>
  <c r="I19" i="11"/>
  <c r="I19" i="29" s="1"/>
  <c r="I18" i="12"/>
  <c r="K18" i="12" s="1"/>
  <c r="I22" i="10"/>
  <c r="J21" i="29" s="1"/>
  <c r="I20" i="10"/>
  <c r="J19" i="29" s="1"/>
  <c r="U23" i="14"/>
  <c r="U22" i="14"/>
  <c r="C27" i="14"/>
  <c r="F26" i="14"/>
  <c r="K19" i="29" l="1"/>
  <c r="J23" i="14"/>
  <c r="M22" i="14"/>
  <c r="N22" i="14"/>
  <c r="R38" i="14"/>
  <c r="U37" i="14"/>
  <c r="I20" i="11"/>
  <c r="I20" i="29" s="1"/>
  <c r="I19" i="12"/>
  <c r="K19" i="12" s="1"/>
  <c r="I21" i="10"/>
  <c r="J20" i="29" s="1"/>
  <c r="I23" i="10"/>
  <c r="J22" i="29" s="1"/>
  <c r="C28" i="14"/>
  <c r="F27" i="14"/>
  <c r="K20" i="29" l="1"/>
  <c r="J24" i="14"/>
  <c r="N23" i="14"/>
  <c r="M23" i="14"/>
  <c r="U38" i="14"/>
  <c r="R39" i="14"/>
  <c r="I21" i="11"/>
  <c r="I21" i="29" s="1"/>
  <c r="K21" i="29" s="1"/>
  <c r="I20" i="12"/>
  <c r="K20" i="12" s="1"/>
  <c r="I24" i="10"/>
  <c r="J23" i="29" s="1"/>
  <c r="C29" i="14"/>
  <c r="F28" i="14"/>
  <c r="J25" i="14" l="1"/>
  <c r="M24" i="14"/>
  <c r="N24" i="14"/>
  <c r="U39" i="14"/>
  <c r="R40" i="14"/>
  <c r="I22" i="11"/>
  <c r="I22" i="29" s="1"/>
  <c r="K22" i="29" s="1"/>
  <c r="I21" i="12"/>
  <c r="K21" i="12" s="1"/>
  <c r="I25" i="10"/>
  <c r="J24" i="29" s="1"/>
  <c r="C30" i="14"/>
  <c r="F29" i="14"/>
  <c r="J26" i="14" l="1"/>
  <c r="M25" i="14"/>
  <c r="N25" i="14"/>
  <c r="U40" i="14"/>
  <c r="R41" i="14"/>
  <c r="I23" i="11"/>
  <c r="I23" i="29" s="1"/>
  <c r="K23" i="29" s="1"/>
  <c r="I22" i="12"/>
  <c r="K22" i="12" s="1"/>
  <c r="I26" i="10"/>
  <c r="J25" i="29" s="1"/>
  <c r="C31" i="14"/>
  <c r="F30" i="14"/>
  <c r="J27" i="14" l="1"/>
  <c r="M26" i="14"/>
  <c r="N26" i="14"/>
  <c r="R42" i="14"/>
  <c r="U41" i="14"/>
  <c r="I24" i="11"/>
  <c r="I24" i="29" s="1"/>
  <c r="K24" i="29" s="1"/>
  <c r="I23" i="12"/>
  <c r="K23" i="12" s="1"/>
  <c r="I27" i="10"/>
  <c r="J26" i="29" s="1"/>
  <c r="C32" i="14"/>
  <c r="F31" i="14"/>
  <c r="J28" i="14" l="1"/>
  <c r="N27" i="14"/>
  <c r="M27" i="14"/>
  <c r="R43" i="14"/>
  <c r="U42" i="14"/>
  <c r="I24" i="12"/>
  <c r="K24" i="12" s="1"/>
  <c r="I25" i="11"/>
  <c r="I25" i="29" s="1"/>
  <c r="K25" i="29" s="1"/>
  <c r="I28" i="10"/>
  <c r="J27" i="29" s="1"/>
  <c r="C33" i="14"/>
  <c r="F32" i="14"/>
  <c r="J43" i="12" l="1"/>
  <c r="J29" i="14"/>
  <c r="M28" i="14"/>
  <c r="N28" i="14"/>
  <c r="R44" i="14"/>
  <c r="U43" i="14"/>
  <c r="I26" i="11"/>
  <c r="I26" i="29" s="1"/>
  <c r="K26" i="29" s="1"/>
  <c r="I25" i="12"/>
  <c r="K25" i="12" s="1"/>
  <c r="I29" i="10"/>
  <c r="J28" i="29" s="1"/>
  <c r="C34" i="14"/>
  <c r="F33" i="14"/>
  <c r="J44" i="12" l="1"/>
  <c r="J30" i="14"/>
  <c r="M29" i="14"/>
  <c r="N29" i="14"/>
  <c r="R45" i="14"/>
  <c r="U44" i="14"/>
  <c r="I27" i="11"/>
  <c r="I27" i="29" s="1"/>
  <c r="K27" i="29" s="1"/>
  <c r="I26" i="12"/>
  <c r="K26" i="12" s="1"/>
  <c r="I30" i="10"/>
  <c r="J29" i="29" s="1"/>
  <c r="C35" i="14"/>
  <c r="F34" i="14"/>
  <c r="J45" i="12" l="1"/>
  <c r="J31" i="14"/>
  <c r="N30" i="14"/>
  <c r="M30" i="14"/>
  <c r="R46" i="14"/>
  <c r="U45" i="14"/>
  <c r="I28" i="11"/>
  <c r="I28" i="29" s="1"/>
  <c r="K28" i="29" s="1"/>
  <c r="I27" i="12"/>
  <c r="K27" i="12" s="1"/>
  <c r="I31" i="10"/>
  <c r="J30" i="29" s="1"/>
  <c r="C36" i="14"/>
  <c r="F35" i="14"/>
  <c r="J46" i="12" l="1"/>
  <c r="J32" i="14"/>
  <c r="M31" i="14"/>
  <c r="N31" i="14"/>
  <c r="U46" i="14"/>
  <c r="R47" i="14"/>
  <c r="I28" i="12"/>
  <c r="K28" i="12" s="1"/>
  <c r="I29" i="11"/>
  <c r="I29" i="29" s="1"/>
  <c r="K29" i="29" s="1"/>
  <c r="I32" i="10"/>
  <c r="J31" i="29" s="1"/>
  <c r="C37" i="14"/>
  <c r="F36" i="14"/>
  <c r="J47" i="12" l="1"/>
  <c r="K47" i="12"/>
  <c r="U47" i="14"/>
  <c r="R48" i="14"/>
  <c r="J33" i="14"/>
  <c r="M32" i="14"/>
  <c r="N32" i="14"/>
  <c r="I29" i="12"/>
  <c r="K29" i="12" s="1"/>
  <c r="I30" i="11"/>
  <c r="I30" i="29" s="1"/>
  <c r="K30" i="29" s="1"/>
  <c r="I33" i="10"/>
  <c r="C38" i="14"/>
  <c r="F37" i="14"/>
  <c r="J48" i="12" l="1"/>
  <c r="J32" i="29"/>
  <c r="I34" i="10"/>
  <c r="U48" i="14"/>
  <c r="R49" i="14"/>
  <c r="J34" i="14"/>
  <c r="M33" i="14"/>
  <c r="N33" i="14"/>
  <c r="I30" i="12"/>
  <c r="K30" i="12" s="1"/>
  <c r="I31" i="11"/>
  <c r="I31" i="29" s="1"/>
  <c r="K31" i="29" s="1"/>
  <c r="C39" i="14"/>
  <c r="F38" i="14"/>
  <c r="J49" i="12" l="1"/>
  <c r="J33" i="29"/>
  <c r="I35" i="10"/>
  <c r="U49" i="14"/>
  <c r="R50" i="14"/>
  <c r="J35" i="14"/>
  <c r="N34" i="14"/>
  <c r="M34" i="14"/>
  <c r="I32" i="11"/>
  <c r="I32" i="29" s="1"/>
  <c r="K32" i="29" s="1"/>
  <c r="I31" i="12"/>
  <c r="K31" i="12" s="1"/>
  <c r="C40" i="14"/>
  <c r="F39" i="14"/>
  <c r="J50" i="12" l="1"/>
  <c r="K50" i="12" s="1"/>
  <c r="J34" i="29"/>
  <c r="I36" i="10"/>
  <c r="U50" i="14"/>
  <c r="R51" i="14"/>
  <c r="J36" i="14"/>
  <c r="M35" i="14"/>
  <c r="N35" i="14"/>
  <c r="I33" i="11"/>
  <c r="I33" i="29" s="1"/>
  <c r="K33" i="29" s="1"/>
  <c r="I32" i="12"/>
  <c r="K32" i="12" s="1"/>
  <c r="C41" i="14"/>
  <c r="F40" i="14"/>
  <c r="J35" i="29" l="1"/>
  <c r="I37" i="10"/>
  <c r="J51" i="12"/>
  <c r="K51" i="12" s="1"/>
  <c r="R52" i="14"/>
  <c r="U51" i="14"/>
  <c r="J37" i="14"/>
  <c r="N36" i="14"/>
  <c r="M36" i="14"/>
  <c r="I33" i="12"/>
  <c r="K33" i="12" s="1"/>
  <c r="I34" i="11"/>
  <c r="I34" i="29" s="1"/>
  <c r="K34" i="29" s="1"/>
  <c r="C42" i="14"/>
  <c r="F41" i="14"/>
  <c r="J36" i="29" l="1"/>
  <c r="I38" i="10"/>
  <c r="R53" i="14"/>
  <c r="J52" i="12"/>
  <c r="U52" i="14"/>
  <c r="J38" i="14"/>
  <c r="N37" i="14"/>
  <c r="M37" i="14"/>
  <c r="I34" i="12"/>
  <c r="K34" i="12" s="1"/>
  <c r="I35" i="11"/>
  <c r="I35" i="29" s="1"/>
  <c r="K35" i="29" s="1"/>
  <c r="C43" i="14"/>
  <c r="F42" i="14"/>
  <c r="U53" i="14" l="1"/>
  <c r="V16" i="14"/>
  <c r="V17" i="14"/>
  <c r="V53" i="14"/>
  <c r="V18" i="14"/>
  <c r="V7" i="14"/>
  <c r="V14" i="14"/>
  <c r="V19" i="14"/>
  <c r="V21" i="14"/>
  <c r="J53" i="12"/>
  <c r="V15" i="14"/>
  <c r="V8" i="14"/>
  <c r="V20" i="14"/>
  <c r="V9" i="14"/>
  <c r="V12" i="14"/>
  <c r="V13" i="14"/>
  <c r="V10" i="14"/>
  <c r="V11" i="14"/>
  <c r="V22" i="14"/>
  <c r="V25" i="14"/>
  <c r="V23" i="14"/>
  <c r="V24" i="14"/>
  <c r="V26" i="14"/>
  <c r="V27" i="14"/>
  <c r="V28" i="14"/>
  <c r="V29" i="14"/>
  <c r="V30" i="14"/>
  <c r="V31" i="14"/>
  <c r="V32" i="14"/>
  <c r="V33" i="14"/>
  <c r="V34" i="14"/>
  <c r="V35" i="14"/>
  <c r="V36" i="14"/>
  <c r="V37" i="14"/>
  <c r="V38" i="14"/>
  <c r="V39" i="14"/>
  <c r="V40" i="14"/>
  <c r="V41" i="14"/>
  <c r="V42" i="14"/>
  <c r="V43" i="14"/>
  <c r="V44" i="14"/>
  <c r="V45" i="14"/>
  <c r="V46" i="14"/>
  <c r="V47" i="14"/>
  <c r="V48" i="14"/>
  <c r="V49" i="14"/>
  <c r="V50" i="14"/>
  <c r="V51" i="14"/>
  <c r="V52" i="14"/>
  <c r="J37" i="29"/>
  <c r="I39" i="10"/>
  <c r="K52" i="12"/>
  <c r="I54" i="12" s="1"/>
  <c r="O22" i="12" s="1"/>
  <c r="J39" i="14"/>
  <c r="M38" i="14"/>
  <c r="N38" i="14"/>
  <c r="I35" i="12"/>
  <c r="K35" i="12" s="1"/>
  <c r="I36" i="11"/>
  <c r="I36" i="29" s="1"/>
  <c r="K36" i="29" s="1"/>
  <c r="C44" i="14"/>
  <c r="F43" i="14"/>
  <c r="N54" i="12" l="1"/>
  <c r="N55" i="12" s="1"/>
  <c r="N52" i="12"/>
  <c r="N48" i="12"/>
  <c r="N56" i="12"/>
  <c r="K53" i="12"/>
  <c r="J38" i="29"/>
  <c r="I40" i="10"/>
  <c r="J54" i="12"/>
  <c r="P22" i="12" s="1"/>
  <c r="J40" i="14"/>
  <c r="N39" i="14"/>
  <c r="M39" i="14"/>
  <c r="I37" i="11"/>
  <c r="I37" i="29" s="1"/>
  <c r="K37" i="29" s="1"/>
  <c r="I36" i="12"/>
  <c r="K36" i="12" s="1"/>
  <c r="C45" i="14"/>
  <c r="F44" i="14"/>
  <c r="J39" i="29" l="1"/>
  <c r="I41" i="10"/>
  <c r="J41" i="14"/>
  <c r="M40" i="14"/>
  <c r="N40" i="14"/>
  <c r="I37" i="12"/>
  <c r="K37" i="12" s="1"/>
  <c r="I38" i="11"/>
  <c r="I38" i="29" s="1"/>
  <c r="K38" i="29" s="1"/>
  <c r="C46" i="14"/>
  <c r="F45" i="14"/>
  <c r="I42" i="10" l="1"/>
  <c r="J40" i="29"/>
  <c r="J42" i="14"/>
  <c r="N41" i="14"/>
  <c r="M41" i="14"/>
  <c r="I38" i="12"/>
  <c r="K38" i="12" s="1"/>
  <c r="I39" i="11"/>
  <c r="I39" i="29" s="1"/>
  <c r="K39" i="29" s="1"/>
  <c r="C47" i="14"/>
  <c r="F46" i="14"/>
  <c r="J41" i="29" l="1"/>
  <c r="I43" i="10"/>
  <c r="J43" i="14"/>
  <c r="N42" i="14"/>
  <c r="M42" i="14"/>
  <c r="I39" i="12"/>
  <c r="K39" i="12" s="1"/>
  <c r="I40" i="11"/>
  <c r="C48" i="14"/>
  <c r="F47" i="14"/>
  <c r="J42" i="29" l="1"/>
  <c r="I44" i="10"/>
  <c r="J44" i="14"/>
  <c r="M43" i="14"/>
  <c r="N43" i="14"/>
  <c r="I40" i="29"/>
  <c r="K40" i="29" s="1"/>
  <c r="I40" i="12"/>
  <c r="K40" i="12" s="1"/>
  <c r="I41" i="11"/>
  <c r="C49" i="14"/>
  <c r="F48" i="14"/>
  <c r="J43" i="29" l="1"/>
  <c r="I45" i="10"/>
  <c r="J45" i="14"/>
  <c r="M44" i="14"/>
  <c r="N44" i="14"/>
  <c r="I42" i="11"/>
  <c r="I41" i="29"/>
  <c r="K41" i="29" s="1"/>
  <c r="I41" i="12"/>
  <c r="K41" i="12" s="1"/>
  <c r="C50" i="14"/>
  <c r="F49" i="14"/>
  <c r="J44" i="29" l="1"/>
  <c r="I46" i="10"/>
  <c r="J45" i="29" s="1"/>
  <c r="J46" i="14"/>
  <c r="M45" i="14"/>
  <c r="N45" i="14"/>
  <c r="I43" i="11"/>
  <c r="I42" i="12"/>
  <c r="K42" i="12" s="1"/>
  <c r="I42" i="29"/>
  <c r="K42" i="29" s="1"/>
  <c r="C51" i="14"/>
  <c r="F50" i="14"/>
  <c r="J47" i="14" l="1"/>
  <c r="M46" i="14"/>
  <c r="N46" i="14"/>
  <c r="I43" i="29"/>
  <c r="K43" i="29" s="1"/>
  <c r="I43" i="12"/>
  <c r="K43" i="12" s="1"/>
  <c r="I44" i="11"/>
  <c r="C52" i="14"/>
  <c r="F51" i="14"/>
  <c r="J48" i="14" l="1"/>
  <c r="N47" i="14"/>
  <c r="M47" i="14"/>
  <c r="I44" i="12"/>
  <c r="K44" i="12" s="1"/>
  <c r="I44" i="29"/>
  <c r="K44" i="29" s="1"/>
  <c r="I45" i="11"/>
  <c r="C53" i="14"/>
  <c r="F52" i="14"/>
  <c r="J49" i="14" l="1"/>
  <c r="N48" i="14"/>
  <c r="M48" i="14"/>
  <c r="I45" i="12"/>
  <c r="K45" i="12" s="1"/>
  <c r="I45" i="29"/>
  <c r="K45" i="29" s="1"/>
  <c r="I46" i="11"/>
  <c r="F53" i="14"/>
  <c r="J50" i="14" l="1"/>
  <c r="N49" i="14"/>
  <c r="M49" i="14"/>
  <c r="I46" i="29"/>
  <c r="K46" i="29" s="1"/>
  <c r="I47" i="11"/>
  <c r="I46" i="12"/>
  <c r="K46" i="12" s="1"/>
  <c r="I47" i="29" l="1"/>
  <c r="K47" i="29" s="1"/>
  <c r="I48" i="12"/>
  <c r="K48" i="12" s="1"/>
  <c r="I49" i="12"/>
  <c r="K49" i="12" s="1"/>
  <c r="N50" i="14"/>
  <c r="M50" i="14"/>
  <c r="J51" i="14"/>
  <c r="M51" i="14" l="1"/>
  <c r="N51" i="14"/>
  <c r="J52" i="14"/>
  <c r="J53" i="14" l="1"/>
  <c r="N52" i="14"/>
  <c r="M52" i="14"/>
  <c r="M53" i="14" l="1"/>
  <c r="N53" i="14"/>
  <c r="C5" i="33"/>
  <c r="C53" i="33" s="1"/>
  <c r="B52" i="33" l="1"/>
</calcChain>
</file>

<file path=xl/sharedStrings.xml><?xml version="1.0" encoding="utf-8"?>
<sst xmlns="http://schemas.openxmlformats.org/spreadsheetml/2006/main" count="350" uniqueCount="149">
  <si>
    <t>Fairfax County</t>
  </si>
  <si>
    <t>Total</t>
  </si>
  <si>
    <t>Total Ballots Cast</t>
  </si>
  <si>
    <t>Delegate District</t>
  </si>
  <si>
    <t>Mailed Absentee Ballots</t>
  </si>
  <si>
    <t>Date</t>
  </si>
  <si>
    <t>Domestic</t>
  </si>
  <si>
    <t>UOCAVA</t>
  </si>
  <si>
    <t>E-mail UOCAVA</t>
  </si>
  <si>
    <t>Fax</t>
  </si>
  <si>
    <t xml:space="preserve">June 8, 2021 ▪ Democratic Primary Election </t>
  </si>
  <si>
    <t xml:space="preserve">Total </t>
  </si>
  <si>
    <t>Early Voting</t>
  </si>
  <si>
    <t>Total Voters</t>
  </si>
  <si>
    <t>None</t>
  </si>
  <si>
    <t>Government Center</t>
  </si>
  <si>
    <t>Burke</t>
  </si>
  <si>
    <t>Centreville</t>
  </si>
  <si>
    <t>Franconia</t>
  </si>
  <si>
    <t>Great Falls</t>
  </si>
  <si>
    <t>Herndon</t>
  </si>
  <si>
    <t>Laurel Hills</t>
  </si>
  <si>
    <t>Mason</t>
  </si>
  <si>
    <t>McLean</t>
  </si>
  <si>
    <t>Mount Vernon</t>
  </si>
  <si>
    <t>North County</t>
  </si>
  <si>
    <t>Providence</t>
  </si>
  <si>
    <t>Sully</t>
  </si>
  <si>
    <t>Thomas Jefferson</t>
  </si>
  <si>
    <t>Tysons Pimmit</t>
  </si>
  <si>
    <t>West Springfield</t>
  </si>
  <si>
    <t>Mailed/ Emailed</t>
  </si>
  <si>
    <t>Daily</t>
  </si>
  <si>
    <t>2020 Running total</t>
  </si>
  <si>
    <t>2021 Running Total</t>
  </si>
  <si>
    <t>2020 Ballots Mailed -- CD 11 only</t>
  </si>
  <si>
    <t>% of satellite voters</t>
  </si>
  <si>
    <t>Surrendered Ballots</t>
  </si>
  <si>
    <t>June 8, 2021 Democratic Primary Election</t>
  </si>
  <si>
    <t>Day</t>
  </si>
  <si>
    <t>Voters</t>
  </si>
  <si>
    <t xml:space="preserve">      </t>
  </si>
  <si>
    <t>2020 Running Total</t>
  </si>
  <si>
    <t>2021 Running total</t>
  </si>
  <si>
    <t>2017 Running Total</t>
  </si>
  <si>
    <t>Compare Early Voting with Relevant Previous Democratic Elections</t>
  </si>
  <si>
    <t>2017 Gubernatorial   10 locations</t>
  </si>
  <si>
    <t xml:space="preserve">2021 Gubernatorial 16 locations </t>
  </si>
  <si>
    <t>2017 Ballots Mailed  Full County Gubernatorial</t>
  </si>
  <si>
    <t>2017 Running total</t>
  </si>
  <si>
    <t>2021 Ballots Mailed -- Full County Gubernatorial</t>
  </si>
  <si>
    <t>Mailout</t>
  </si>
  <si>
    <t xml:space="preserve">  Early voting </t>
  </si>
  <si>
    <t>2017 Running Totals</t>
  </si>
  <si>
    <t>2021 Running Totals</t>
  </si>
  <si>
    <t>2020 Running Totals</t>
  </si>
  <si>
    <t>2017 RunningTotal</t>
  </si>
  <si>
    <t>2020 CD 11 only. Gov't Center - only location</t>
  </si>
  <si>
    <t>Absentee Ballot-by-Mail Voters who Voted Early in Person</t>
  </si>
  <si>
    <t>Ballot not surrendered</t>
  </si>
  <si>
    <t xml:space="preserve">Early Voting (in person) </t>
  </si>
  <si>
    <t>Returned by Mail</t>
  </si>
  <si>
    <t>Compare Total of Mailout + Early Voting for Relevant Previous Democratic Elections</t>
  </si>
  <si>
    <t>Compare Mailout with Previous Democratic Elections</t>
  </si>
  <si>
    <t>No DD Race</t>
  </si>
  <si>
    <t>Total Ballots Mailed</t>
  </si>
  <si>
    <t>Comparing Ballot Return Rates</t>
  </si>
  <si>
    <t>Returned by day</t>
  </si>
  <si>
    <t>total</t>
  </si>
  <si>
    <t>Returned Running Total</t>
  </si>
  <si>
    <t>Mailed</t>
  </si>
  <si>
    <t>Mailed Running Total</t>
  </si>
  <si>
    <t>Return Running Total</t>
  </si>
  <si>
    <t>2021 Democratic Primary</t>
  </si>
  <si>
    <r>
      <t xml:space="preserve">2020 - % returned of total </t>
    </r>
    <r>
      <rPr>
        <b/>
        <sz val="11"/>
        <color rgb="FFC00000"/>
        <rFont val="Arial"/>
        <family val="2"/>
      </rPr>
      <t>mailed</t>
    </r>
    <r>
      <rPr>
        <b/>
        <sz val="11"/>
        <color theme="1"/>
        <rFont val="Arial"/>
        <family val="2"/>
      </rPr>
      <t xml:space="preserve"> as of this day</t>
    </r>
  </si>
  <si>
    <t>2020 - % returned of total returned</t>
  </si>
  <si>
    <r>
      <t xml:space="preserve">2021 - % returned of total </t>
    </r>
    <r>
      <rPr>
        <b/>
        <sz val="11"/>
        <color rgb="FFC00000"/>
        <rFont val="Arial"/>
        <family val="2"/>
      </rPr>
      <t>mailed</t>
    </r>
    <r>
      <rPr>
        <b/>
        <sz val="11"/>
        <color theme="1"/>
        <rFont val="Arial"/>
        <family val="2"/>
      </rPr>
      <t xml:space="preserve"> as of this day</t>
    </r>
  </si>
  <si>
    <t>Return by Day</t>
  </si>
  <si>
    <t>Return Dropbox</t>
  </si>
  <si>
    <t>2020 Democratic Primary</t>
  </si>
  <si>
    <t>Active Voters</t>
  </si>
  <si>
    <t>2017 Democratic Primary</t>
  </si>
  <si>
    <r>
      <t xml:space="preserve">2017 - % returned of total </t>
    </r>
    <r>
      <rPr>
        <b/>
        <sz val="11"/>
        <color rgb="FFC00000"/>
        <rFont val="Arial"/>
        <family val="2"/>
      </rPr>
      <t>mailed</t>
    </r>
    <r>
      <rPr>
        <b/>
        <sz val="11"/>
        <color theme="1"/>
        <rFont val="Arial"/>
        <family val="2"/>
      </rPr>
      <t xml:space="preserve"> as of this day</t>
    </r>
  </si>
  <si>
    <t>2017 - % returned of total returned</t>
  </si>
  <si>
    <t>Mailed by day</t>
  </si>
  <si>
    <t>Early</t>
  </si>
  <si>
    <t>Mail</t>
  </si>
  <si>
    <t xml:space="preserve"> </t>
  </si>
  <si>
    <t>% Voted  (Turnout)</t>
  </si>
  <si>
    <t>2021 - % returned of total returned</t>
  </si>
  <si>
    <t>Compare Total of Returned ABs + Early Voting for Relevant Previous Democratic Elections</t>
  </si>
  <si>
    <t>Returned</t>
  </si>
  <si>
    <t xml:space="preserve">  Early Voting </t>
  </si>
  <si>
    <t>2020 Nov</t>
  </si>
  <si>
    <t>2020 June</t>
  </si>
  <si>
    <t xml:space="preserve">Nov 2, 2021 ▪ General Election </t>
  </si>
  <si>
    <t>Gov't Center</t>
  </si>
  <si>
    <t xml:space="preserve">Gerry Hyland </t>
  </si>
  <si>
    <t>Returned by Dropbox</t>
  </si>
  <si>
    <t>Nov. 2 2021</t>
  </si>
  <si>
    <t>General Election</t>
  </si>
  <si>
    <t>Surrendered Ballot</t>
  </si>
  <si>
    <t>Absentee Voters Voting In Person Instead</t>
  </si>
  <si>
    <t>Total Ballots Returned by Mail</t>
  </si>
  <si>
    <t>Total Ballots Returned by Drop Box</t>
  </si>
  <si>
    <t>Returned By Mail</t>
  </si>
  <si>
    <t xml:space="preserve">Returned by Dropbox </t>
  </si>
  <si>
    <t>Of Total Ballots Cast</t>
  </si>
  <si>
    <t>Total Returned AB</t>
  </si>
  <si>
    <t>Voted early in person</t>
  </si>
  <si>
    <t xml:space="preserve"> Early voters who had requested an AB</t>
  </si>
  <si>
    <t>AB returned by drop box</t>
  </si>
  <si>
    <t>Early Voting  In Person</t>
  </si>
  <si>
    <t>Undeliverable</t>
  </si>
  <si>
    <t>Cured</t>
  </si>
  <si>
    <t>Blank</t>
  </si>
  <si>
    <t>Missing witness signature only</t>
  </si>
  <si>
    <t>Missing name only</t>
  </si>
  <si>
    <t>Missing address only</t>
  </si>
  <si>
    <t>Combinations</t>
  </si>
  <si>
    <t>Missing voter signature only</t>
  </si>
  <si>
    <t xml:space="preserve">Statement of Absentee Voter                              </t>
  </si>
  <si>
    <t>Reason</t>
  </si>
  <si>
    <t>No Ballot ("Goldenrod")</t>
  </si>
  <si>
    <t>% requiring curing of total AB returned</t>
  </si>
  <si>
    <t>Ballots Requiring Curing</t>
  </si>
  <si>
    <t>Total for curing</t>
  </si>
  <si>
    <t xml:space="preserve">Voted by AB </t>
  </si>
  <si>
    <t>Cure rate</t>
  </si>
  <si>
    <t xml:space="preserve">  </t>
  </si>
  <si>
    <t>Final 5 Days of Early Voting</t>
  </si>
  <si>
    <t>Return</t>
  </si>
  <si>
    <t>In person instead</t>
  </si>
  <si>
    <t>Still out there</t>
  </si>
  <si>
    <t>Total w/25% UOCAVA</t>
  </si>
  <si>
    <t>Totdal w/30% UOCAVA</t>
  </si>
  <si>
    <t>Return rates of total mailed</t>
  </si>
  <si>
    <t>Remaining</t>
  </si>
  <si>
    <t>Looking at Potential Ballots to be Returned</t>
  </si>
  <si>
    <t>Nov. 1 2021</t>
  </si>
  <si>
    <t>% Remaining Out There</t>
  </si>
  <si>
    <t>Mailed/ emailed</t>
  </si>
  <si>
    <t>Mailed not voted in person</t>
  </si>
  <si>
    <t>Approx. because UOCAVAs not broken out for dropbox returns</t>
  </si>
  <si>
    <t>tottal</t>
  </si>
  <si>
    <t>Emergency ballots</t>
  </si>
  <si>
    <r>
      <t>Absentee &amp; Early Voting Report - *</t>
    </r>
    <r>
      <rPr>
        <b/>
        <i/>
        <sz val="14"/>
        <color rgb="FF0070C0"/>
        <rFont val="Arial"/>
        <family val="2"/>
      </rPr>
      <t>Unofficial*</t>
    </r>
  </si>
  <si>
    <t>As of 11/05/2021</t>
  </si>
  <si>
    <t>Not cured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</si>
</sst>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 d\,\ yyyy;@"/>
    <numFmt numFmtId="165" formatCode="[$-409]d\-mmm;@"/>
    <numFmt numFmtId="166" formatCode="0.0%"/>
  </numFmts>
  <fonts count="26" x14ac:knownFonts="1"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8"/>
      <color rgb="FF0070C0"/>
      <name val="Arial"/>
      <family val="2"/>
    </font>
    <font>
      <b/>
      <sz val="18"/>
      <color theme="0"/>
      <name val="Arial"/>
      <family val="2"/>
    </font>
    <font>
      <b/>
      <sz val="11"/>
      <name val="Arial"/>
      <family val="2"/>
    </font>
    <font>
      <b/>
      <sz val="16"/>
      <color rgb="FF0070C0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2"/>
      <color rgb="FF0000FF"/>
      <name val="Arial"/>
      <family val="2"/>
    </font>
    <font>
      <b/>
      <sz val="10"/>
      <color theme="1"/>
      <name val="Arial"/>
      <family val="2"/>
    </font>
    <font>
      <b/>
      <sz val="11"/>
      <color rgb="FF0070C0"/>
      <name val="Arial"/>
      <family val="2"/>
    </font>
    <font>
      <sz val="11"/>
      <name val="Arial"/>
      <family val="2"/>
    </font>
    <font>
      <b/>
      <sz val="11"/>
      <color rgb="FFC00000"/>
      <name val="Arial"/>
      <family val="2"/>
    </font>
    <font>
      <sz val="11"/>
      <color theme="0" tint="-0.499984740745262"/>
      <name val="Arial"/>
      <family val="2"/>
    </font>
    <font>
      <b/>
      <sz val="18"/>
      <color theme="1"/>
      <name val="Arial"/>
      <family val="2"/>
    </font>
    <font>
      <sz val="12"/>
      <color rgb="FFFF0000"/>
      <name val="Arial"/>
      <family val="2"/>
    </font>
    <font>
      <b/>
      <sz val="14"/>
      <color rgb="FF0070C0"/>
      <name val="Arial"/>
      <family val="2"/>
    </font>
    <font>
      <b/>
      <sz val="12"/>
      <color theme="0"/>
      <name val="Arial"/>
      <family val="2"/>
    </font>
    <font>
      <b/>
      <i/>
      <sz val="14"/>
      <color rgb="FF0070C0"/>
      <name val="Arial"/>
      <family val="2"/>
    </font>
    <font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thick">
        <color auto="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ck">
        <color auto="1"/>
      </right>
      <top/>
      <bottom style="thin">
        <color theme="0" tint="-0.24994659260841701"/>
      </bottom>
      <diagonal/>
    </border>
    <border>
      <left style="thick">
        <color auto="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ck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ck">
        <color auto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auto="1"/>
      </right>
      <top style="medium">
        <color indexed="64"/>
      </top>
      <bottom style="hair">
        <color theme="0" tint="-0.34998626667073579"/>
      </bottom>
      <diagonal/>
    </border>
    <border>
      <left style="thin">
        <color indexed="64"/>
      </left>
      <right style="thick">
        <color auto="1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indexed="64"/>
      </left>
      <right style="thick">
        <color auto="1"/>
      </right>
      <top style="hair">
        <color theme="0" tint="-0.34998626667073579"/>
      </top>
      <bottom style="thin">
        <color indexed="64"/>
      </bottom>
      <diagonal/>
    </border>
    <border>
      <left style="thick">
        <color auto="1"/>
      </left>
      <right/>
      <top style="thin">
        <color theme="0" tint="-0.34998626667073579"/>
      </top>
      <bottom/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indexed="64"/>
      </top>
      <bottom style="medium">
        <color indexed="64"/>
      </bottom>
      <diagonal/>
    </border>
    <border>
      <left style="thin">
        <color theme="0" tint="-0.34998626667073579"/>
      </left>
      <right/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theme="0" tint="-0.34998626667073579"/>
      </right>
      <top style="thin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theme="0" tint="-0.34998626667073579"/>
      </left>
      <right style="hair">
        <color theme="0" tint="-0.34998626667073579"/>
      </right>
      <top style="medium">
        <color indexed="64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medium">
        <color indexed="64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/>
      <right style="hair">
        <color theme="0" tint="-0.34998626667073579"/>
      </right>
      <top/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medium">
        <color auto="1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medium">
        <color auto="1"/>
      </left>
      <right style="hair">
        <color theme="0" tint="-0.34998626667073579"/>
      </right>
      <top/>
      <bottom style="medium">
        <color indexed="64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 style="medium">
        <color indexed="64"/>
      </bottom>
      <diagonal/>
    </border>
    <border>
      <left style="medium">
        <color theme="0" tint="-0.34998626667073579"/>
      </left>
      <right/>
      <top style="thin">
        <color indexed="64"/>
      </top>
      <bottom style="medium">
        <color indexed="64"/>
      </bottom>
      <diagonal/>
    </border>
    <border>
      <left style="hair">
        <color theme="0" tint="-0.34998626667073579"/>
      </left>
      <right style="hair">
        <color theme="0" tint="-0.34998626667073579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medium">
        <color indexed="64"/>
      </top>
      <bottom style="thin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hair">
        <color theme="0" tint="-0.34998626667073579"/>
      </left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hair">
        <color theme="0" tint="-0.34998626667073579"/>
      </right>
      <top style="medium">
        <color indexed="64"/>
      </top>
      <bottom style="hair">
        <color theme="0" tint="-0.34998626667073579"/>
      </bottom>
      <diagonal/>
    </border>
    <border>
      <left style="hair">
        <color theme="0" tint="-0.34998626667073579"/>
      </left>
      <right style="medium">
        <color auto="1"/>
      </right>
      <top style="medium">
        <color indexed="64"/>
      </top>
      <bottom style="thin">
        <color theme="0" tint="-0.34998626667073579"/>
      </bottom>
      <diagonal/>
    </border>
    <border>
      <left style="hair">
        <color theme="0" tint="-0.34998626667073579"/>
      </left>
      <right style="medium">
        <color auto="1"/>
      </right>
      <top/>
      <bottom/>
      <diagonal/>
    </border>
    <border>
      <left style="hair">
        <color theme="0" tint="-0.34998626667073579"/>
      </left>
      <right style="medium">
        <color auto="1"/>
      </right>
      <top/>
      <bottom style="thin">
        <color theme="0" tint="-0.24994659260841701"/>
      </bottom>
      <diagonal/>
    </border>
    <border>
      <left style="hair">
        <color theme="0" tint="-0.34998626667073579"/>
      </left>
      <right style="medium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 style="medium">
        <color auto="1"/>
      </left>
      <right style="hair">
        <color theme="0" tint="-0.34998626667073579"/>
      </right>
      <top/>
      <bottom style="hair">
        <color theme="0" tint="-0.34998626667073579"/>
      </bottom>
      <diagonal/>
    </border>
    <border>
      <left style="hair">
        <color theme="0" tint="-0.14993743705557422"/>
      </left>
      <right/>
      <top style="hair">
        <color theme="0" tint="-0.14993743705557422"/>
      </top>
      <bottom style="hair">
        <color theme="0" tint="-0.14993743705557422"/>
      </bottom>
      <diagonal/>
    </border>
    <border>
      <left style="hair">
        <color theme="0" tint="-0.14993743705557422"/>
      </left>
      <right/>
      <top/>
      <bottom style="hair">
        <color theme="0" tint="-0.14993743705557422"/>
      </bottom>
      <diagonal/>
    </border>
    <border>
      <left style="thin">
        <color indexed="64"/>
      </left>
      <right/>
      <top/>
      <bottom/>
      <diagonal/>
    </border>
    <border>
      <left style="thin">
        <color theme="0" tint="-0.14996795556505021"/>
      </left>
      <right style="hair">
        <color theme="0" tint="-0.14993743705557422"/>
      </right>
      <top/>
      <bottom style="thin">
        <color theme="0" tint="-0.14996795556505021"/>
      </bottom>
      <diagonal/>
    </border>
    <border>
      <left style="hair">
        <color theme="0" tint="-0.14993743705557422"/>
      </left>
      <right/>
      <top/>
      <bottom style="thin">
        <color theme="0" tint="-0.14996795556505021"/>
      </bottom>
      <diagonal/>
    </border>
    <border>
      <left style="thin">
        <color indexed="64"/>
      </left>
      <right/>
      <top style="hair">
        <color theme="0" tint="-0.34998626667073579"/>
      </top>
      <bottom style="thin">
        <color indexed="64"/>
      </bottom>
      <diagonal/>
    </border>
    <border>
      <left style="hair">
        <color theme="0" tint="-0.14993743705557422"/>
      </left>
      <right/>
      <top style="hair">
        <color theme="0" tint="-0.14993743705557422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hair">
        <color theme="0" tint="-0.14993743705557422"/>
      </right>
      <top style="thin">
        <color indexed="64"/>
      </top>
      <bottom style="thin">
        <color indexed="64"/>
      </bottom>
      <diagonal/>
    </border>
    <border>
      <left style="hair">
        <color theme="0" tint="-0.14993743705557422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hair">
        <color theme="0" tint="-0.14993743705557422"/>
      </right>
      <top style="thin">
        <color indexed="64"/>
      </top>
      <bottom style="thin">
        <color indexed="64"/>
      </bottom>
      <diagonal/>
    </border>
    <border>
      <left style="hair">
        <color theme="0" tint="-0.14993743705557422"/>
      </left>
      <right style="hair">
        <color theme="0" tint="-0.14993743705557422"/>
      </right>
      <top style="thin">
        <color indexed="64"/>
      </top>
      <bottom style="thin">
        <color indexed="64"/>
      </bottom>
      <diagonal/>
    </border>
    <border>
      <left style="hair">
        <color theme="0" tint="-0.14993743705557422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auto="1"/>
      </left>
      <right/>
      <top/>
      <bottom style="hair">
        <color theme="0" tint="-0.14993743705557422"/>
      </bottom>
      <diagonal/>
    </border>
    <border>
      <left style="thin">
        <color indexed="64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indexed="64"/>
      </left>
      <right style="hair">
        <color theme="0" tint="-0.34998626667073579"/>
      </right>
      <top/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/>
      <diagonal/>
    </border>
    <border>
      <left style="hair">
        <color theme="0" tint="-0.34998626667073579"/>
      </left>
      <right style="thin">
        <color indexed="64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thin">
        <color indexed="64"/>
      </right>
      <top/>
      <bottom style="hair">
        <color theme="0" tint="-0.34998626667073579"/>
      </bottom>
      <diagonal/>
    </border>
    <border>
      <left style="hair">
        <color theme="0" tint="-0.34998626667073579"/>
      </left>
      <right/>
      <top/>
      <bottom/>
      <diagonal/>
    </border>
    <border>
      <left style="medium">
        <color auto="1"/>
      </left>
      <right/>
      <top/>
      <bottom style="hair">
        <color theme="0" tint="-0.34998626667073579"/>
      </bottom>
      <diagonal/>
    </border>
    <border>
      <left style="thin">
        <color indexed="64"/>
      </left>
      <right style="hair">
        <color theme="0" tint="-0.34998626667073579"/>
      </right>
      <top/>
      <bottom style="medium">
        <color indexed="64"/>
      </bottom>
      <diagonal/>
    </border>
    <border>
      <left style="hair">
        <color theme="0" tint="-0.34998626667073579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theme="0" tint="-0.34998626667073579"/>
      </right>
      <top style="hair">
        <color theme="0" tint="-0.34998626667073579"/>
      </top>
      <bottom style="thin">
        <color indexed="64"/>
      </bottom>
      <diagonal/>
    </border>
    <border>
      <left style="hair">
        <color theme="0" tint="-0.34998626667073579"/>
      </left>
      <right style="thin">
        <color indexed="64"/>
      </right>
      <top style="hair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hair">
        <color theme="0" tint="-0.34998626667073579"/>
      </right>
      <top style="medium">
        <color indexed="64"/>
      </top>
      <bottom style="hair">
        <color theme="0" tint="-0.34998626667073579"/>
      </bottom>
      <diagonal/>
    </border>
    <border>
      <left style="hair">
        <color theme="0" tint="-0.34998626667073579"/>
      </left>
      <right style="thin">
        <color indexed="64"/>
      </right>
      <top style="medium">
        <color indexed="64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hair">
        <color theme="0" tint="-0.34998626667073579"/>
      </right>
      <top style="thin">
        <color auto="1"/>
      </top>
      <bottom style="thin">
        <color indexed="64"/>
      </bottom>
      <diagonal/>
    </border>
    <border>
      <left style="hair">
        <color theme="0" tint="-0.34998626667073579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thin">
        <color auto="1"/>
      </bottom>
      <diagonal/>
    </border>
    <border>
      <left style="hair">
        <color theme="0" tint="-0.34998626667073579"/>
      </left>
      <right style="hair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theme="0" tint="-0.34998626667073579"/>
      </right>
      <top style="thin">
        <color indexed="64"/>
      </top>
      <bottom style="medium">
        <color indexed="64"/>
      </bottom>
      <diagonal/>
    </border>
    <border>
      <left style="hair">
        <color theme="0" tint="-0.34998626667073579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theme="0" tint="-0.34998626667073579"/>
      </left>
      <right style="hair">
        <color theme="0" tint="-0.14993743705557422"/>
      </right>
      <top style="thin">
        <color indexed="64"/>
      </top>
      <bottom style="hair">
        <color theme="0" tint="-0.14993743705557422"/>
      </bottom>
      <diagonal/>
    </border>
    <border>
      <left style="hair">
        <color theme="0" tint="-0.34998626667073579"/>
      </left>
      <right style="hair">
        <color theme="0" tint="-0.14993743705557422"/>
      </right>
      <top style="hair">
        <color theme="0" tint="-0.14993743705557422"/>
      </top>
      <bottom style="hair">
        <color theme="0" tint="-0.14993743705557422"/>
      </bottom>
      <diagonal/>
    </border>
    <border>
      <left style="hair">
        <color theme="0" tint="-0.34998626667073579"/>
      </left>
      <right style="hair">
        <color theme="0" tint="-0.14993743705557422"/>
      </right>
      <top style="hair">
        <color theme="0" tint="-0.14993743705557422"/>
      </top>
      <bottom style="thin">
        <color indexed="64"/>
      </bottom>
      <diagonal/>
    </border>
    <border>
      <left/>
      <right style="hair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thin">
        <color auto="1"/>
      </bottom>
      <diagonal/>
    </border>
    <border>
      <left/>
      <right style="hair">
        <color theme="0" tint="-0.34998626667073579"/>
      </right>
      <top style="thin">
        <color indexed="64"/>
      </top>
      <bottom/>
      <diagonal/>
    </border>
    <border>
      <left style="thick">
        <color auto="1"/>
      </left>
      <right style="hair">
        <color theme="0" tint="-0.34998626667073579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hair">
        <color theme="0" tint="-0.34998626667073579"/>
      </bottom>
      <diagonal/>
    </border>
    <border>
      <left style="thin">
        <color indexed="64"/>
      </left>
      <right style="medium">
        <color auto="1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indexed="64"/>
      </left>
      <right style="medium">
        <color auto="1"/>
      </right>
      <top style="hair">
        <color theme="0" tint="-0.34998626667073579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theme="0" tint="-0.34998626667073579"/>
      </left>
      <right style="thin">
        <color indexed="64"/>
      </right>
      <top style="medium">
        <color indexed="64"/>
      </top>
      <bottom/>
      <diagonal/>
    </border>
    <border>
      <left style="hair">
        <color theme="0" tint="-0.34998626667073579"/>
      </left>
      <right style="thin">
        <color indexed="64"/>
      </right>
      <top/>
      <bottom/>
      <diagonal/>
    </border>
    <border>
      <left style="thin">
        <color indexed="64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thin">
        <color indexed="64"/>
      </right>
      <top style="hair">
        <color theme="0" tint="-0.34998626667073579"/>
      </top>
      <bottom/>
      <diagonal/>
    </border>
    <border>
      <left style="thin">
        <color indexed="64"/>
      </left>
      <right style="hair">
        <color theme="0" tint="-0.34998626667073579"/>
      </right>
      <top/>
      <bottom/>
      <diagonal/>
    </border>
    <border>
      <left style="thin">
        <color indexed="64"/>
      </left>
      <right style="hair">
        <color theme="0" tint="-0.34998626667073579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34998626667073579"/>
      </left>
      <right style="thin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thin">
        <color indexed="64"/>
      </left>
      <right style="hair">
        <color theme="0" tint="-0.34998626667073579"/>
      </right>
      <top/>
      <bottom style="thin">
        <color indexed="64"/>
      </bottom>
      <diagonal/>
    </border>
    <border>
      <left style="hair">
        <color theme="0" tint="-0.34998626667073579"/>
      </left>
      <right style="thin">
        <color indexed="64"/>
      </right>
      <top/>
      <bottom style="thin">
        <color indexed="64"/>
      </bottom>
      <diagonal/>
    </border>
    <border>
      <left style="hair">
        <color theme="0" tint="-0.34998626667073579"/>
      </left>
      <right style="hair">
        <color theme="0" tint="-0.499984740745262"/>
      </right>
      <top style="medium">
        <color indexed="64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499984740745262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499984740745262"/>
      </right>
      <top style="hair">
        <color theme="0" tint="-0.34998626667073579"/>
      </top>
      <bottom style="medium">
        <color indexed="64"/>
      </bottom>
      <diagonal/>
    </border>
    <border>
      <left style="hair">
        <color theme="0" tint="-0.34998626667073579"/>
      </left>
      <right style="hair">
        <color theme="0" tint="-0.499984740745262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hair">
        <color theme="0" tint="-0.34998626667073579"/>
      </right>
      <top style="thin">
        <color theme="0" tint="-0.499984740745262"/>
      </top>
      <bottom style="medium">
        <color indexed="64"/>
      </bottom>
      <diagonal/>
    </border>
    <border>
      <left/>
      <right style="hair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hair">
        <color theme="0" tint="-0.34998626667073579"/>
      </left>
      <right style="medium">
        <color auto="1"/>
      </right>
      <top style="thin">
        <color theme="0" tint="-0.24994659260841701"/>
      </top>
      <bottom/>
      <diagonal/>
    </border>
    <border>
      <left style="hair">
        <color theme="0" tint="-0.34998626667073579"/>
      </left>
      <right style="medium">
        <color auto="1"/>
      </right>
      <top style="thin">
        <color theme="0" tint="-0.24994659260841701"/>
      </top>
      <bottom style="medium">
        <color indexed="64"/>
      </bottom>
      <diagonal/>
    </border>
    <border>
      <left style="medium">
        <color auto="1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auto="1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34998626667073579"/>
      </left>
      <right style="medium">
        <color auto="1"/>
      </right>
      <top/>
      <bottom style="medium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hair">
        <color theme="0" tint="-0.34998626667073579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hair">
        <color theme="0" tint="-0.34998626667073579"/>
      </left>
      <right style="medium">
        <color indexed="64"/>
      </right>
      <top style="medium">
        <color indexed="64"/>
      </top>
      <bottom style="hair">
        <color theme="0" tint="-0.34998626667073579"/>
      </bottom>
      <diagonal/>
    </border>
    <border>
      <left style="hair">
        <color theme="0" tint="-0.34998626667073579"/>
      </left>
      <right style="medium">
        <color indexed="64"/>
      </right>
      <top style="hair">
        <color theme="0" tint="-0.34998626667073579"/>
      </top>
      <bottom style="hair">
        <color theme="0" tint="-0.34998626667073579"/>
      </bottom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 style="medium">
        <color theme="1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thin">
        <color auto="1"/>
      </right>
      <top/>
      <bottom style="hair">
        <color theme="0" tint="-0.499984740745262"/>
      </bottom>
      <diagonal/>
    </border>
    <border>
      <left style="medium">
        <color auto="1"/>
      </left>
      <right style="hair">
        <color theme="0" tint="-0.499984740745262"/>
      </right>
      <top style="thin">
        <color auto="1"/>
      </top>
      <bottom style="medium">
        <color indexed="64"/>
      </bottom>
      <diagonal/>
    </border>
    <border>
      <left style="hair">
        <color theme="0" tint="-0.499984740745262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/>
      <bottom style="hair">
        <color theme="0" tint="-0.34998626667073579"/>
      </bottom>
      <diagonal/>
    </border>
    <border>
      <left style="hair">
        <color theme="0" tint="-0.34998626667073579"/>
      </left>
      <right style="medium">
        <color auto="1"/>
      </right>
      <top/>
      <bottom style="thin">
        <color theme="0" tint="-0.34998626667073579"/>
      </bottom>
      <diagonal/>
    </border>
    <border>
      <left style="hair">
        <color theme="0" tint="-0.34998626667073579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hair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hair">
        <color theme="0" tint="-0.499984740745262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34998626667073579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auto="1"/>
      </left>
      <right/>
      <top style="thin">
        <color theme="0" tint="-0.24994659260841701"/>
      </top>
      <bottom style="hair">
        <color theme="0" tint="-0.499984740745262"/>
      </bottom>
      <diagonal/>
    </border>
    <border>
      <left style="medium">
        <color auto="1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medium">
        <color auto="1"/>
      </left>
      <right style="hair">
        <color theme="0" tint="-0.499984740745262"/>
      </right>
      <top style="hair">
        <color theme="0" tint="-0.34998626667073579"/>
      </top>
      <bottom style="hair">
        <color theme="0" tint="-0.499984740745262"/>
      </bottom>
      <diagonal/>
    </border>
    <border>
      <left style="thin">
        <color indexed="64"/>
      </left>
      <right style="medium">
        <color auto="1"/>
      </right>
      <top style="hair">
        <color theme="0" tint="-0.34998626667073579"/>
      </top>
      <bottom/>
      <diagonal/>
    </border>
    <border>
      <left style="thin">
        <color indexed="64"/>
      </left>
      <right style="medium">
        <color auto="1"/>
      </right>
      <top style="hair">
        <color theme="0" tint="-0.499984740745262"/>
      </top>
      <bottom style="hair">
        <color theme="0" tint="-0.34998626667073579"/>
      </bottom>
      <diagonal/>
    </border>
    <border>
      <left style="thin">
        <color indexed="64"/>
      </left>
      <right style="medium">
        <color auto="1"/>
      </right>
      <top style="hair">
        <color theme="0" tint="-0.34998626667073579"/>
      </top>
      <bottom style="hair">
        <color theme="0" tint="-0.499984740745262"/>
      </bottom>
      <diagonal/>
    </border>
    <border>
      <left style="hair">
        <color theme="0" tint="-0.34998626667073579"/>
      </left>
      <right style="hair">
        <color theme="0" tint="-0.499984740745262"/>
      </right>
      <top/>
      <bottom style="hair">
        <color theme="0" tint="-0.34998626667073579"/>
      </bottom>
      <diagonal/>
    </border>
    <border>
      <left style="medium">
        <color auto="1"/>
      </left>
      <right style="hair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hair">
        <color theme="0" tint="-0.34998626667073579"/>
      </left>
      <right/>
      <top style="medium">
        <color indexed="64"/>
      </top>
      <bottom style="thin">
        <color indexed="64"/>
      </bottom>
      <diagonal/>
    </border>
    <border>
      <left style="hair">
        <color theme="0" tint="-0.34998626667073579"/>
      </left>
      <right/>
      <top/>
      <bottom style="medium">
        <color indexed="64"/>
      </bottom>
      <diagonal/>
    </border>
    <border>
      <left style="hair">
        <color theme="0" tint="-0.34998626667073579"/>
      </left>
      <right/>
      <top style="medium">
        <color indexed="64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499984740745262"/>
      </left>
      <right/>
      <top style="hair">
        <color theme="0" tint="-0.34998626667073579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34998626667073579"/>
      </left>
      <right/>
      <top/>
      <bottom style="hair">
        <color theme="0" tint="-0.3499862666707357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theme="0" tint="-0.34998626667073579"/>
      </bottom>
      <diagonal/>
    </border>
    <border>
      <left style="medium">
        <color indexed="64"/>
      </left>
      <right style="thin">
        <color indexed="64"/>
      </right>
      <top style="hair">
        <color theme="0" tint="-0.34998626667073579"/>
      </top>
      <bottom style="hair">
        <color theme="0" tint="-0.34998626667073579"/>
      </bottom>
      <diagonal/>
    </border>
    <border>
      <left style="medium">
        <color indexed="64"/>
      </left>
      <right style="thin">
        <color indexed="64"/>
      </right>
      <top style="hair">
        <color theme="0" tint="-0.34998626667073579"/>
      </top>
      <bottom style="hair">
        <color theme="0" tint="-0.499984740745262"/>
      </bottom>
      <diagonal/>
    </border>
    <border>
      <left style="medium">
        <color indexed="64"/>
      </left>
      <right style="thin">
        <color auto="1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indexed="64"/>
      </left>
      <right style="thin">
        <color indexed="64"/>
      </right>
      <top/>
      <bottom style="hair">
        <color theme="0" tint="-0.34998626667073579"/>
      </bottom>
      <diagonal/>
    </border>
    <border>
      <left style="thin">
        <color indexed="64"/>
      </left>
      <right/>
      <top/>
      <bottom style="hair">
        <color theme="0" tint="-0.14996795556505021"/>
      </bottom>
      <diagonal/>
    </border>
    <border>
      <left style="thin">
        <color indexed="64"/>
      </left>
      <right/>
      <top style="hair">
        <color theme="0" tint="-0.14996795556505021"/>
      </top>
      <bottom style="hair">
        <color theme="0" tint="-0.14996795556505021"/>
      </bottom>
      <diagonal/>
    </border>
    <border>
      <left style="thin">
        <color indexed="64"/>
      </left>
      <right/>
      <top style="hair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theme="0" tint="-0.14996795556505021"/>
      </bottom>
      <diagonal/>
    </border>
    <border>
      <left style="thin">
        <color indexed="64"/>
      </left>
      <right style="thin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thin">
        <color indexed="64"/>
      </left>
      <right style="thin">
        <color indexed="64"/>
      </right>
      <top style="hair">
        <color theme="0" tint="-0.1499679555650502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theme="0" tint="-0.24994659260841701"/>
      </top>
      <bottom style="hair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hair">
        <color theme="0" tint="-0.34998626667073579"/>
      </top>
      <bottom style="hair">
        <color theme="0" tint="-0.34998626667073579"/>
      </bottom>
      <diagonal/>
    </border>
    <border>
      <left style="medium">
        <color auto="1"/>
      </left>
      <right style="hair">
        <color theme="0" tint="-0.499984740745262"/>
      </right>
      <top style="hair">
        <color theme="0" tint="-0.34998626667073579"/>
      </top>
      <bottom style="thin">
        <color theme="0" tint="-0.24994659260841701"/>
      </bottom>
      <diagonal/>
    </border>
    <border>
      <left style="medium">
        <color auto="1"/>
      </left>
      <right style="hair">
        <color theme="0" tint="-0.34998626667073579"/>
      </right>
      <top style="hair">
        <color theme="0" tint="-0.34998626667073579"/>
      </top>
      <bottom style="hair">
        <color theme="0" tint="-0.499984740745262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499984740745262"/>
      </bottom>
      <diagonal/>
    </border>
    <border>
      <left style="hair">
        <color theme="0" tint="-0.34998626667073579"/>
      </left>
      <right style="thin">
        <color indexed="64"/>
      </right>
      <top style="hair">
        <color theme="0" tint="-0.34998626667073579"/>
      </top>
      <bottom style="hair">
        <color theme="0" tint="-0.499984740745262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hair">
        <color theme="0" tint="-0.34998626667073579"/>
      </bottom>
      <diagonal/>
    </border>
    <border>
      <left style="thin">
        <color auto="1"/>
      </left>
      <right style="thin">
        <color indexed="64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auto="1"/>
      </left>
      <right style="thin">
        <color indexed="64"/>
      </right>
      <top style="hair">
        <color theme="0" tint="-0.34998626667073579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hair">
        <color theme="0" tint="-0.34998626667073579"/>
      </bottom>
      <diagonal/>
    </border>
    <border>
      <left style="thin">
        <color indexed="64"/>
      </left>
      <right style="medium">
        <color auto="1"/>
      </right>
      <top style="hair">
        <color theme="0" tint="-0.34998626667073579"/>
      </top>
      <bottom style="thin">
        <color indexed="64"/>
      </bottom>
      <diagonal/>
    </border>
    <border>
      <left style="hair">
        <color theme="0" tint="-0.34998626667073579"/>
      </left>
      <right style="medium">
        <color auto="1"/>
      </right>
      <top style="thin">
        <color theme="0" tint="-0.24994659260841701"/>
      </top>
      <bottom style="thin">
        <color indexed="64"/>
      </bottom>
      <diagonal/>
    </border>
    <border>
      <left style="medium">
        <color auto="1"/>
      </left>
      <right style="hair">
        <color theme="0" tint="-0.34998626667073579"/>
      </right>
      <top style="hair">
        <color theme="0" tint="-0.34998626667073579"/>
      </top>
      <bottom style="thin">
        <color indexed="64"/>
      </bottom>
      <diagonal/>
    </border>
    <border>
      <left style="hair">
        <color theme="0" tint="-0.34998626667073579"/>
      </left>
      <right style="medium">
        <color indexed="64"/>
      </right>
      <top style="hair">
        <color theme="0" tint="-0.34998626667073579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rgb="FFD9D9D9"/>
      </top>
      <bottom style="hair">
        <color rgb="FFD9D9D9"/>
      </bottom>
      <diagonal/>
    </border>
    <border>
      <left style="thin">
        <color indexed="64"/>
      </left>
      <right style="thin">
        <color indexed="64"/>
      </right>
      <top style="hair">
        <color rgb="FFD9D9D9"/>
      </top>
      <bottom style="thin">
        <color indexed="64"/>
      </bottom>
      <diagonal/>
    </border>
    <border>
      <left/>
      <right style="thin">
        <color indexed="64"/>
      </right>
      <top/>
      <bottom style="hair">
        <color rgb="FFD9D9D9"/>
      </bottom>
      <diagonal/>
    </border>
    <border>
      <left/>
      <right style="thin">
        <color indexed="64"/>
      </right>
      <top style="hair">
        <color rgb="FFD9D9D9"/>
      </top>
      <bottom style="hair">
        <color rgb="FFD9D9D9"/>
      </bottom>
      <diagonal/>
    </border>
    <border>
      <left/>
      <right style="thin">
        <color indexed="64"/>
      </right>
      <top style="hair">
        <color rgb="FFD9D9D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rgb="FFD9D9D9"/>
      </bottom>
      <diagonal/>
    </border>
  </borders>
  <cellStyleXfs count="1">
    <xf numFmtId="0" fontId="0" fillId="0" borderId="0"/>
  </cellStyleXfs>
  <cellXfs count="629">
    <xf numFmtId="0" fontId="0" fillId="0" borderId="0" xfId="0"/>
    <xf numFmtId="0" fontId="0" fillId="0" borderId="0" xfId="0" applyAlignment="1">
      <alignment horizontal="center"/>
    </xf>
    <xf numFmtId="164" fontId="4" fillId="0" borderId="4" xfId="0" quotePrefix="1" applyNumberFormat="1" applyFont="1" applyBorder="1" applyAlignment="1" applyProtection="1">
      <alignment horizont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10" fillId="0" borderId="8" xfId="0" applyFont="1" applyBorder="1" applyAlignment="1" applyProtection="1">
      <alignment horizontal="center" vertical="center"/>
      <protection locked="0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3" fontId="2" fillId="0" borderId="5" xfId="0" applyNumberFormat="1" applyFont="1" applyBorder="1" applyAlignment="1" applyProtection="1">
      <alignment horizontal="center" vertical="center"/>
      <protection locked="0"/>
    </xf>
    <xf numFmtId="3" fontId="2" fillId="0" borderId="19" xfId="0" applyNumberFormat="1" applyFont="1" applyBorder="1" applyAlignment="1">
      <alignment horizontal="center" vertical="center"/>
    </xf>
    <xf numFmtId="3" fontId="2" fillId="0" borderId="20" xfId="0" applyNumberFormat="1" applyFont="1" applyBorder="1" applyAlignment="1">
      <alignment horizontal="center" vertical="center"/>
    </xf>
    <xf numFmtId="3" fontId="2" fillId="3" borderId="21" xfId="0" applyNumberFormat="1" applyFont="1" applyFill="1" applyBorder="1" applyAlignment="1">
      <alignment horizontal="center" vertical="center"/>
    </xf>
    <xf numFmtId="16" fontId="2" fillId="0" borderId="22" xfId="0" applyNumberFormat="1" applyFont="1" applyBorder="1" applyAlignment="1" applyProtection="1">
      <alignment horizontal="center" vertical="center"/>
      <protection locked="0"/>
    </xf>
    <xf numFmtId="16" fontId="2" fillId="0" borderId="23" xfId="0" applyNumberFormat="1" applyFont="1" applyBorder="1" applyAlignment="1" applyProtection="1">
      <alignment horizontal="center" vertical="center"/>
      <protection locked="0"/>
    </xf>
    <xf numFmtId="16" fontId="2" fillId="0" borderId="24" xfId="0" applyNumberFormat="1" applyFont="1" applyBorder="1" applyAlignment="1" applyProtection="1">
      <alignment horizontal="center" vertical="center"/>
      <protection locked="0"/>
    </xf>
    <xf numFmtId="16" fontId="2" fillId="4" borderId="23" xfId="0" applyNumberFormat="1" applyFont="1" applyFill="1" applyBorder="1" applyAlignment="1" applyProtection="1">
      <alignment horizontal="center" vertical="center"/>
      <protection locked="0"/>
    </xf>
    <xf numFmtId="16" fontId="2" fillId="0" borderId="23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Fill="1" applyProtection="1">
      <protection locked="0"/>
    </xf>
    <xf numFmtId="0" fontId="0" fillId="0" borderId="0" xfId="0" applyFill="1"/>
    <xf numFmtId="0" fontId="0" fillId="0" borderId="25" xfId="0" applyBorder="1"/>
    <xf numFmtId="0" fontId="2" fillId="3" borderId="0" xfId="0" applyFont="1" applyFill="1" applyAlignment="1">
      <alignment horizontal="center"/>
    </xf>
    <xf numFmtId="0" fontId="2" fillId="3" borderId="17" xfId="0" applyFont="1" applyFill="1" applyBorder="1" applyAlignment="1" applyProtection="1">
      <alignment horizontal="center"/>
      <protection locked="0"/>
    </xf>
    <xf numFmtId="3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center"/>
    </xf>
    <xf numFmtId="0" fontId="10" fillId="3" borderId="7" xfId="0" applyFont="1" applyFill="1" applyBorder="1" applyAlignment="1" applyProtection="1">
      <alignment horizontal="center" vertical="center"/>
      <protection locked="0"/>
    </xf>
    <xf numFmtId="0" fontId="2" fillId="3" borderId="10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0" fillId="3" borderId="16" xfId="0" applyFill="1" applyBorder="1" applyProtection="1">
      <protection locked="0"/>
    </xf>
    <xf numFmtId="3" fontId="2" fillId="3" borderId="20" xfId="0" applyNumberFormat="1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Fill="1" applyBorder="1"/>
    <xf numFmtId="0" fontId="2" fillId="0" borderId="0" xfId="0" applyFont="1" applyFill="1" applyAlignment="1">
      <alignment horizontal="center"/>
    </xf>
    <xf numFmtId="0" fontId="2" fillId="0" borderId="10" xfId="0" applyFont="1" applyFill="1" applyBorder="1" applyAlignment="1">
      <alignment horizontal="center" vertical="center"/>
    </xf>
    <xf numFmtId="3" fontId="2" fillId="0" borderId="20" xfId="0" applyNumberFormat="1" applyFont="1" applyFill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0" fillId="0" borderId="30" xfId="0" applyBorder="1"/>
    <xf numFmtId="0" fontId="2" fillId="4" borderId="31" xfId="0" applyFont="1" applyFill="1" applyBorder="1" applyAlignment="1">
      <alignment horizontal="center" vertical="center"/>
    </xf>
    <xf numFmtId="0" fontId="2" fillId="4" borderId="32" xfId="0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0" fillId="0" borderId="33" xfId="0" applyFill="1" applyBorder="1" applyProtection="1">
      <protection locked="0"/>
    </xf>
    <xf numFmtId="3" fontId="2" fillId="0" borderId="34" xfId="0" applyNumberFormat="1" applyFont="1" applyBorder="1" applyAlignment="1">
      <alignment horizontal="center" vertical="center"/>
    </xf>
    <xf numFmtId="0" fontId="4" fillId="0" borderId="37" xfId="0" applyFont="1" applyFill="1" applyBorder="1" applyAlignment="1" applyProtection="1">
      <alignment horizontal="center" vertical="center"/>
      <protection locked="0"/>
    </xf>
    <xf numFmtId="0" fontId="4" fillId="0" borderId="38" xfId="0" applyFont="1" applyFill="1" applyBorder="1" applyAlignment="1" applyProtection="1">
      <alignment horizontal="center" vertical="center"/>
      <protection locked="0"/>
    </xf>
    <xf numFmtId="0" fontId="4" fillId="0" borderId="28" xfId="0" applyFont="1" applyFill="1" applyBorder="1" applyAlignment="1" applyProtection="1">
      <alignment horizontal="center" vertical="center"/>
      <protection locked="0"/>
    </xf>
    <xf numFmtId="0" fontId="10" fillId="3" borderId="28" xfId="0" applyFont="1" applyFill="1" applyBorder="1" applyAlignment="1" applyProtection="1">
      <alignment horizontal="center" vertical="center"/>
      <protection locked="0"/>
    </xf>
    <xf numFmtId="0" fontId="0" fillId="0" borderId="41" xfId="0" applyBorder="1"/>
    <xf numFmtId="0" fontId="0" fillId="4" borderId="41" xfId="0" applyFill="1" applyBorder="1"/>
    <xf numFmtId="0" fontId="0" fillId="0" borderId="41" xfId="0" applyFill="1" applyBorder="1"/>
    <xf numFmtId="0" fontId="0" fillId="0" borderId="46" xfId="0" applyBorder="1"/>
    <xf numFmtId="0" fontId="2" fillId="0" borderId="50" xfId="0" applyFont="1" applyBorder="1" applyAlignment="1" applyProtection="1">
      <alignment horizontal="center" vertical="center"/>
      <protection locked="0"/>
    </xf>
    <xf numFmtId="0" fontId="13" fillId="0" borderId="0" xfId="0" applyFont="1" applyBorder="1"/>
    <xf numFmtId="16" fontId="0" fillId="0" borderId="52" xfId="0" applyNumberFormat="1" applyFont="1" applyBorder="1" applyAlignment="1" applyProtection="1">
      <alignment horizontal="center" vertical="center"/>
      <protection locked="0"/>
    </xf>
    <xf numFmtId="16" fontId="0" fillId="4" borderId="52" xfId="0" applyNumberFormat="1" applyFont="1" applyFill="1" applyBorder="1" applyAlignment="1" applyProtection="1">
      <alignment horizontal="center" vertical="center"/>
      <protection locked="0"/>
    </xf>
    <xf numFmtId="16" fontId="0" fillId="0" borderId="5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4" fillId="0" borderId="4" xfId="0" quotePrefix="1" applyNumberFormat="1" applyFont="1" applyBorder="1" applyAlignment="1" applyProtection="1">
      <alignment horizontal="center"/>
      <protection locked="0"/>
    </xf>
    <xf numFmtId="3" fontId="10" fillId="0" borderId="48" xfId="0" applyNumberFormat="1" applyFont="1" applyBorder="1" applyAlignment="1" applyProtection="1">
      <alignment horizontal="center" vertical="center"/>
      <protection locked="0"/>
    </xf>
    <xf numFmtId="3" fontId="10" fillId="0" borderId="49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>
      <alignment wrapText="1"/>
    </xf>
    <xf numFmtId="0" fontId="0" fillId="0" borderId="41" xfId="0" applyFill="1" applyBorder="1" applyAlignment="1">
      <alignment horizontal="right"/>
    </xf>
    <xf numFmtId="0" fontId="0" fillId="0" borderId="46" xfId="0" applyBorder="1" applyAlignment="1">
      <alignment horizontal="right"/>
    </xf>
    <xf numFmtId="0" fontId="0" fillId="4" borderId="46" xfId="0" applyFill="1" applyBorder="1"/>
    <xf numFmtId="16" fontId="0" fillId="0" borderId="0" xfId="0" applyNumberFormat="1" applyFont="1" applyFill="1" applyBorder="1" applyAlignment="1" applyProtection="1">
      <alignment horizontal="center" vertical="center"/>
      <protection locked="0"/>
    </xf>
    <xf numFmtId="16" fontId="0" fillId="0" borderId="66" xfId="0" applyNumberFormat="1" applyFont="1" applyBorder="1" applyAlignment="1" applyProtection="1">
      <alignment horizontal="center" vertical="center"/>
      <protection locked="0"/>
    </xf>
    <xf numFmtId="16" fontId="0" fillId="0" borderId="69" xfId="0" applyNumberFormat="1" applyFont="1" applyBorder="1" applyAlignment="1" applyProtection="1">
      <alignment horizontal="center" vertical="center"/>
      <protection locked="0"/>
    </xf>
    <xf numFmtId="3" fontId="0" fillId="0" borderId="0" xfId="0" applyNumberFormat="1" applyBorder="1" applyAlignment="1">
      <alignment horizontal="left"/>
    </xf>
    <xf numFmtId="3" fontId="14" fillId="0" borderId="0" xfId="0" applyNumberFormat="1" applyFont="1" applyBorder="1" applyAlignment="1">
      <alignment horizontal="center" vertical="center"/>
    </xf>
    <xf numFmtId="3" fontId="0" fillId="0" borderId="71" xfId="0" applyNumberFormat="1" applyBorder="1" applyAlignment="1">
      <alignment horizontal="center"/>
    </xf>
    <xf numFmtId="3" fontId="1" fillId="0" borderId="0" xfId="0" applyNumberFormat="1" applyFont="1" applyBorder="1"/>
    <xf numFmtId="3" fontId="1" fillId="0" borderId="0" xfId="0" applyNumberFormat="1" applyFont="1" applyBorder="1" applyAlignment="1">
      <alignment horizontal="left"/>
    </xf>
    <xf numFmtId="3" fontId="0" fillId="0" borderId="0" xfId="0" applyNumberFormat="1" applyBorder="1"/>
    <xf numFmtId="0" fontId="0" fillId="0" borderId="77" xfId="0" applyBorder="1"/>
    <xf numFmtId="0" fontId="0" fillId="0" borderId="66" xfId="0" applyBorder="1"/>
    <xf numFmtId="3" fontId="2" fillId="0" borderId="66" xfId="0" applyNumberFormat="1" applyFont="1" applyBorder="1"/>
    <xf numFmtId="3" fontId="0" fillId="0" borderId="66" xfId="0" applyNumberFormat="1" applyBorder="1"/>
    <xf numFmtId="0" fontId="0" fillId="0" borderId="66" xfId="0" applyFill="1" applyBorder="1"/>
    <xf numFmtId="3" fontId="0" fillId="0" borderId="41" xfId="0" applyNumberFormat="1" applyBorder="1"/>
    <xf numFmtId="3" fontId="0" fillId="0" borderId="42" xfId="0" applyNumberFormat="1" applyBorder="1"/>
    <xf numFmtId="0" fontId="8" fillId="0" borderId="0" xfId="0" applyFont="1" applyAlignment="1" applyProtection="1">
      <alignment wrapText="1"/>
      <protection locked="0"/>
    </xf>
    <xf numFmtId="3" fontId="0" fillId="0" borderId="80" xfId="0" applyNumberFormat="1" applyBorder="1"/>
    <xf numFmtId="3" fontId="0" fillId="0" borderId="79" xfId="0" applyNumberFormat="1" applyBorder="1"/>
    <xf numFmtId="0" fontId="0" fillId="0" borderId="79" xfId="0" applyBorder="1"/>
    <xf numFmtId="3" fontId="0" fillId="0" borderId="80" xfId="0" applyNumberFormat="1" applyFont="1" applyBorder="1" applyAlignment="1">
      <alignment wrapText="1"/>
    </xf>
    <xf numFmtId="3" fontId="0" fillId="0" borderId="83" xfId="0" applyNumberFormat="1" applyFont="1" applyBorder="1" applyAlignment="1">
      <alignment wrapText="1"/>
    </xf>
    <xf numFmtId="3" fontId="0" fillId="0" borderId="82" xfId="0" applyNumberFormat="1" applyBorder="1"/>
    <xf numFmtId="0" fontId="0" fillId="0" borderId="62" xfId="0" applyBorder="1" applyAlignment="1">
      <alignment horizontal="center"/>
    </xf>
    <xf numFmtId="3" fontId="0" fillId="0" borderId="79" xfId="0" applyNumberFormat="1" applyBorder="1" applyAlignment="1">
      <alignment horizontal="center"/>
    </xf>
    <xf numFmtId="3" fontId="0" fillId="0" borderId="83" xfId="0" applyNumberFormat="1" applyBorder="1"/>
    <xf numFmtId="0" fontId="0" fillId="0" borderId="82" xfId="0" applyBorder="1"/>
    <xf numFmtId="0" fontId="0" fillId="0" borderId="81" xfId="0" applyBorder="1" applyAlignment="1">
      <alignment horizontal="center"/>
    </xf>
    <xf numFmtId="3" fontId="0" fillId="0" borderId="90" xfId="0" applyNumberFormat="1" applyBorder="1" applyAlignment="1">
      <alignment horizontal="center"/>
    </xf>
    <xf numFmtId="3" fontId="0" fillId="0" borderId="91" xfId="0" applyNumberFormat="1" applyBorder="1" applyAlignment="1">
      <alignment horizontal="center"/>
    </xf>
    <xf numFmtId="3" fontId="0" fillId="0" borderId="82" xfId="0" applyNumberFormat="1" applyBorder="1" applyAlignment="1">
      <alignment horizontal="center"/>
    </xf>
    <xf numFmtId="3" fontId="0" fillId="0" borderId="88" xfId="0" applyNumberFormat="1" applyBorder="1" applyAlignment="1">
      <alignment horizontal="center"/>
    </xf>
    <xf numFmtId="3" fontId="0" fillId="0" borderId="88" xfId="0" applyNumberFormat="1" applyBorder="1"/>
    <xf numFmtId="0" fontId="0" fillId="0" borderId="0" xfId="0" applyBorder="1" applyAlignment="1">
      <alignment horizontal="center"/>
    </xf>
    <xf numFmtId="0" fontId="0" fillId="0" borderId="92" xfId="0" applyBorder="1"/>
    <xf numFmtId="0" fontId="0" fillId="0" borderId="88" xfId="0" applyBorder="1"/>
    <xf numFmtId="0" fontId="0" fillId="0" borderId="92" xfId="0" applyBorder="1" applyAlignment="1">
      <alignment horizontal="center"/>
    </xf>
    <xf numFmtId="3" fontId="0" fillId="0" borderId="4" xfId="0" applyNumberFormat="1" applyBorder="1" applyAlignment="1">
      <alignment horizontal="center"/>
    </xf>
    <xf numFmtId="3" fontId="0" fillId="0" borderId="4" xfId="0" applyNumberFormat="1" applyBorder="1"/>
    <xf numFmtId="3" fontId="0" fillId="0" borderId="92" xfId="0" applyNumberFormat="1" applyBorder="1"/>
    <xf numFmtId="0" fontId="0" fillId="0" borderId="85" xfId="0" applyBorder="1" applyAlignment="1">
      <alignment horizontal="center"/>
    </xf>
    <xf numFmtId="0" fontId="0" fillId="0" borderId="4" xfId="0" applyBorder="1"/>
    <xf numFmtId="0" fontId="0" fillId="0" borderId="93" xfId="0" applyBorder="1" applyAlignment="1">
      <alignment horizontal="center"/>
    </xf>
    <xf numFmtId="3" fontId="0" fillId="0" borderId="93" xfId="0" applyNumberFormat="1" applyBorder="1" applyAlignment="1">
      <alignment horizontal="center"/>
    </xf>
    <xf numFmtId="0" fontId="0" fillId="0" borderId="93" xfId="0" applyBorder="1"/>
    <xf numFmtId="0" fontId="0" fillId="0" borderId="83" xfId="0" applyBorder="1"/>
    <xf numFmtId="3" fontId="16" fillId="0" borderId="79" xfId="0" applyNumberFormat="1" applyFont="1" applyBorder="1" applyAlignment="1">
      <alignment horizontal="center"/>
    </xf>
    <xf numFmtId="3" fontId="16" fillId="0" borderId="79" xfId="0" applyNumberFormat="1" applyFont="1" applyBorder="1"/>
    <xf numFmtId="3" fontId="16" fillId="0" borderId="80" xfId="0" applyNumberFormat="1" applyFont="1" applyBorder="1"/>
    <xf numFmtId="3" fontId="0" fillId="0" borderId="98" xfId="0" applyNumberFormat="1" applyBorder="1"/>
    <xf numFmtId="0" fontId="16" fillId="0" borderId="80" xfId="0" applyFont="1" applyBorder="1"/>
    <xf numFmtId="3" fontId="16" fillId="0" borderId="89" xfId="0" applyNumberFormat="1" applyFont="1" applyBorder="1"/>
    <xf numFmtId="0" fontId="8" fillId="0" borderId="0" xfId="0" applyFont="1" applyAlignment="1" applyProtection="1">
      <alignment vertical="center" wrapText="1"/>
      <protection locked="0"/>
    </xf>
    <xf numFmtId="0" fontId="2" fillId="0" borderId="8" xfId="0" applyFont="1" applyBorder="1" applyAlignment="1">
      <alignment horizontal="center"/>
    </xf>
    <xf numFmtId="0" fontId="0" fillId="0" borderId="100" xfId="0" applyBorder="1"/>
    <xf numFmtId="0" fontId="2" fillId="0" borderId="102" xfId="0" applyFont="1" applyBorder="1" applyAlignment="1">
      <alignment horizontal="center"/>
    </xf>
    <xf numFmtId="3" fontId="16" fillId="0" borderId="83" xfId="0" applyNumberFormat="1" applyFont="1" applyBorder="1"/>
    <xf numFmtId="3" fontId="2" fillId="0" borderId="104" xfId="0" applyNumberFormat="1" applyFont="1" applyBorder="1" applyAlignment="1">
      <alignment horizontal="center" wrapText="1"/>
    </xf>
    <xf numFmtId="3" fontId="2" fillId="0" borderId="51" xfId="0" applyNumberFormat="1" applyFont="1" applyBorder="1" applyAlignment="1">
      <alignment horizontal="center" wrapText="1"/>
    </xf>
    <xf numFmtId="3" fontId="2" fillId="0" borderId="105" xfId="0" applyNumberFormat="1" applyFont="1" applyBorder="1" applyAlignment="1">
      <alignment horizontal="center" wrapText="1"/>
    </xf>
    <xf numFmtId="3" fontId="0" fillId="0" borderId="0" xfId="0" applyNumberFormat="1" applyAlignment="1">
      <alignment vertical="center"/>
    </xf>
    <xf numFmtId="3" fontId="0" fillId="0" borderId="0" xfId="0" applyNumberFormat="1" applyBorder="1" applyAlignment="1">
      <alignment horizontal="left" wrapText="1"/>
    </xf>
    <xf numFmtId="166" fontId="0" fillId="0" borderId="0" xfId="0" applyNumberFormat="1"/>
    <xf numFmtId="0" fontId="0" fillId="5" borderId="41" xfId="0" applyFill="1" applyBorder="1" applyAlignment="1">
      <alignment horizontal="right"/>
    </xf>
    <xf numFmtId="0" fontId="0" fillId="5" borderId="41" xfId="0" applyFill="1" applyBorder="1"/>
    <xf numFmtId="3" fontId="2" fillId="0" borderId="72" xfId="0" applyNumberFormat="1" applyFont="1" applyBorder="1" applyAlignment="1">
      <alignment horizontal="center" vertical="center" wrapText="1"/>
    </xf>
    <xf numFmtId="3" fontId="2" fillId="0" borderId="73" xfId="0" applyNumberFormat="1" applyFont="1" applyBorder="1" applyAlignment="1">
      <alignment horizontal="center" vertical="center" wrapText="1"/>
    </xf>
    <xf numFmtId="3" fontId="2" fillId="0" borderId="74" xfId="0" applyNumberFormat="1" applyFont="1" applyBorder="1" applyAlignment="1">
      <alignment horizontal="center" vertical="center"/>
    </xf>
    <xf numFmtId="3" fontId="2" fillId="3" borderId="75" xfId="0" applyNumberFormat="1" applyFont="1" applyFill="1" applyBorder="1" applyAlignment="1">
      <alignment horizontal="center" vertical="center"/>
    </xf>
    <xf numFmtId="3" fontId="2" fillId="0" borderId="75" xfId="0" applyNumberFormat="1" applyFont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right"/>
    </xf>
    <xf numFmtId="0" fontId="0" fillId="3" borderId="41" xfId="0" applyFill="1" applyBorder="1" applyAlignment="1">
      <alignment horizontal="right"/>
    </xf>
    <xf numFmtId="16" fontId="2" fillId="0" borderId="46" xfId="0" applyNumberFormat="1" applyFont="1" applyBorder="1" applyAlignment="1" applyProtection="1">
      <alignment horizontal="center" vertical="center"/>
      <protection locked="0"/>
    </xf>
    <xf numFmtId="16" fontId="2" fillId="0" borderId="41" xfId="0" applyNumberFormat="1" applyFont="1" applyBorder="1" applyAlignment="1" applyProtection="1">
      <alignment horizontal="center" vertical="center"/>
      <protection locked="0"/>
    </xf>
    <xf numFmtId="0" fontId="0" fillId="3" borderId="41" xfId="0" applyFill="1" applyBorder="1"/>
    <xf numFmtId="16" fontId="2" fillId="4" borderId="41" xfId="0" applyNumberFormat="1" applyFont="1" applyFill="1" applyBorder="1" applyAlignment="1" applyProtection="1">
      <alignment horizontal="center" vertical="center"/>
      <protection locked="0"/>
    </xf>
    <xf numFmtId="16" fontId="2" fillId="0" borderId="41" xfId="0" applyNumberFormat="1" applyFont="1" applyFill="1" applyBorder="1" applyAlignment="1" applyProtection="1">
      <alignment horizontal="center" vertical="center"/>
      <protection locked="0"/>
    </xf>
    <xf numFmtId="0" fontId="2" fillId="3" borderId="42" xfId="0" applyFont="1" applyFill="1" applyBorder="1" applyAlignment="1">
      <alignment horizontal="center"/>
    </xf>
    <xf numFmtId="0" fontId="0" fillId="0" borderId="79" xfId="0" applyFill="1" applyBorder="1" applyAlignment="1">
      <alignment horizontal="right"/>
    </xf>
    <xf numFmtId="0" fontId="0" fillId="4" borderId="41" xfId="0" applyFill="1" applyBorder="1" applyAlignment="1">
      <alignment horizontal="center"/>
    </xf>
    <xf numFmtId="0" fontId="0" fillId="3" borderId="82" xfId="0" applyFill="1" applyBorder="1" applyAlignment="1">
      <alignment horizontal="center"/>
    </xf>
    <xf numFmtId="0" fontId="0" fillId="0" borderId="79" xfId="0" applyBorder="1" applyAlignment="1">
      <alignment horizontal="right"/>
    </xf>
    <xf numFmtId="0" fontId="0" fillId="0" borderId="41" xfId="0" applyBorder="1" applyAlignment="1">
      <alignment horizontal="right"/>
    </xf>
    <xf numFmtId="0" fontId="0" fillId="3" borderId="82" xfId="0" applyFill="1" applyBorder="1"/>
    <xf numFmtId="0" fontId="0" fillId="4" borderId="79" xfId="0" applyFill="1" applyBorder="1"/>
    <xf numFmtId="0" fontId="0" fillId="4" borderId="82" xfId="0" applyFill="1" applyBorder="1"/>
    <xf numFmtId="0" fontId="0" fillId="0" borderId="79" xfId="0" applyFill="1" applyBorder="1"/>
    <xf numFmtId="0" fontId="0" fillId="0" borderId="98" xfId="0" applyBorder="1"/>
    <xf numFmtId="0" fontId="0" fillId="3" borderId="98" xfId="0" applyFill="1" applyBorder="1"/>
    <xf numFmtId="0" fontId="0" fillId="3" borderId="89" xfId="0" applyFill="1" applyBorder="1"/>
    <xf numFmtId="0" fontId="2" fillId="3" borderId="80" xfId="0" applyFont="1" applyFill="1" applyBorder="1" applyAlignment="1">
      <alignment horizontal="center"/>
    </xf>
    <xf numFmtId="0" fontId="2" fillId="3" borderId="83" xfId="0" applyFont="1" applyFill="1" applyBorder="1" applyAlignment="1">
      <alignment horizontal="center"/>
    </xf>
    <xf numFmtId="0" fontId="12" fillId="0" borderId="96" xfId="0" applyFont="1" applyFill="1" applyBorder="1" applyAlignment="1" applyProtection="1">
      <alignment horizontal="center" vertical="center"/>
      <protection locked="0"/>
    </xf>
    <xf numFmtId="0" fontId="12" fillId="0" borderId="99" xfId="0" applyFont="1" applyFill="1" applyBorder="1" applyAlignment="1" applyProtection="1">
      <alignment horizontal="center" vertical="center"/>
      <protection locked="0"/>
    </xf>
    <xf numFmtId="0" fontId="12" fillId="3" borderId="97" xfId="0" applyFont="1" applyFill="1" applyBorder="1" applyAlignment="1" applyProtection="1">
      <alignment horizontal="center" vertical="center"/>
      <protection locked="0"/>
    </xf>
    <xf numFmtId="0" fontId="12" fillId="0" borderId="109" xfId="0" applyFont="1" applyFill="1" applyBorder="1" applyAlignment="1" applyProtection="1">
      <alignment horizontal="center" vertical="center"/>
      <protection locked="0"/>
    </xf>
    <xf numFmtId="0" fontId="2" fillId="3" borderId="45" xfId="0" applyFont="1" applyFill="1" applyBorder="1" applyAlignment="1">
      <alignment horizontal="center"/>
    </xf>
    <xf numFmtId="0" fontId="0" fillId="0" borderId="46" xfId="0" applyFill="1" applyBorder="1" applyAlignment="1">
      <alignment horizontal="right"/>
    </xf>
    <xf numFmtId="0" fontId="0" fillId="0" borderId="46" xfId="0" applyFill="1" applyBorder="1"/>
    <xf numFmtId="0" fontId="0" fillId="0" borderId="110" xfId="0" applyBorder="1"/>
    <xf numFmtId="0" fontId="0" fillId="4" borderId="46" xfId="0" applyFill="1" applyBorder="1" applyAlignment="1">
      <alignment horizontal="center"/>
    </xf>
    <xf numFmtId="0" fontId="0" fillId="3" borderId="82" xfId="0" applyFill="1" applyBorder="1" applyAlignment="1">
      <alignment horizontal="right"/>
    </xf>
    <xf numFmtId="16" fontId="2" fillId="0" borderId="98" xfId="0" applyNumberFormat="1" applyFont="1" applyBorder="1" applyAlignment="1" applyProtection="1">
      <alignment horizontal="center" vertical="center"/>
      <protection locked="0"/>
    </xf>
    <xf numFmtId="0" fontId="0" fillId="0" borderId="98" xfId="0" applyFill="1" applyBorder="1"/>
    <xf numFmtId="0" fontId="0" fillId="5" borderId="98" xfId="0" applyFill="1" applyBorder="1"/>
    <xf numFmtId="0" fontId="2" fillId="0" borderId="111" xfId="0" applyFont="1" applyBorder="1" applyAlignment="1">
      <alignment horizontal="center" vertical="center" wrapText="1"/>
    </xf>
    <xf numFmtId="0" fontId="12" fillId="0" borderId="44" xfId="0" applyFont="1" applyFill="1" applyBorder="1" applyAlignment="1" applyProtection="1">
      <alignment horizontal="center" vertical="center"/>
      <protection locked="0"/>
    </xf>
    <xf numFmtId="0" fontId="12" fillId="5" borderId="44" xfId="0" applyFont="1" applyFill="1" applyBorder="1" applyAlignment="1" applyProtection="1">
      <alignment horizontal="center" vertical="center"/>
      <protection locked="0"/>
    </xf>
    <xf numFmtId="0" fontId="12" fillId="6" borderId="84" xfId="0" applyFont="1" applyFill="1" applyBorder="1" applyAlignment="1" applyProtection="1">
      <alignment horizontal="center" vertical="center"/>
      <protection locked="0"/>
    </xf>
    <xf numFmtId="165" fontId="2" fillId="0" borderId="63" xfId="0" applyNumberFormat="1" applyFont="1" applyFill="1" applyBorder="1" applyAlignment="1" applyProtection="1">
      <alignment horizontal="center" vertical="center"/>
      <protection locked="0"/>
    </xf>
    <xf numFmtId="0" fontId="0" fillId="0" borderId="42" xfId="0" applyFill="1" applyBorder="1" applyAlignment="1">
      <alignment horizontal="right"/>
    </xf>
    <xf numFmtId="0" fontId="0" fillId="5" borderId="42" xfId="0" applyFill="1" applyBorder="1" applyAlignment="1">
      <alignment horizontal="right"/>
    </xf>
    <xf numFmtId="0" fontId="0" fillId="3" borderId="42" xfId="0" applyFill="1" applyBorder="1" applyAlignment="1">
      <alignment horizontal="right"/>
    </xf>
    <xf numFmtId="3" fontId="2" fillId="3" borderId="96" xfId="0" applyNumberFormat="1" applyFont="1" applyFill="1" applyBorder="1" applyAlignment="1" applyProtection="1">
      <alignment horizontal="center" vertical="center"/>
      <protection locked="0"/>
    </xf>
    <xf numFmtId="0" fontId="2" fillId="3" borderId="99" xfId="0" applyFont="1" applyFill="1" applyBorder="1" applyAlignment="1">
      <alignment horizontal="center"/>
    </xf>
    <xf numFmtId="0" fontId="2" fillId="6" borderId="97" xfId="0" applyFont="1" applyFill="1" applyBorder="1" applyAlignment="1">
      <alignment horizontal="center"/>
    </xf>
    <xf numFmtId="9" fontId="15" fillId="3" borderId="76" xfId="0" applyNumberFormat="1" applyFont="1" applyFill="1" applyBorder="1" applyAlignment="1">
      <alignment horizontal="center" vertical="center"/>
    </xf>
    <xf numFmtId="0" fontId="17" fillId="0" borderId="80" xfId="0" applyFont="1" applyBorder="1"/>
    <xf numFmtId="3" fontId="7" fillId="3" borderId="57" xfId="0" applyNumberFormat="1" applyFont="1" applyFill="1" applyBorder="1" applyAlignment="1">
      <alignment horizontal="center" vertical="center"/>
    </xf>
    <xf numFmtId="3" fontId="7" fillId="4" borderId="59" xfId="0" applyNumberFormat="1" applyFont="1" applyFill="1" applyBorder="1" applyAlignment="1">
      <alignment horizontal="center" vertical="center"/>
    </xf>
    <xf numFmtId="3" fontId="7" fillId="4" borderId="60" xfId="0" applyNumberFormat="1" applyFont="1" applyFill="1" applyBorder="1" applyAlignment="1">
      <alignment horizontal="center" vertical="center"/>
    </xf>
    <xf numFmtId="3" fontId="7" fillId="3" borderId="60" xfId="0" applyNumberFormat="1" applyFont="1" applyFill="1" applyBorder="1" applyAlignment="1">
      <alignment horizontal="center" vertical="center"/>
    </xf>
    <xf numFmtId="3" fontId="7" fillId="3" borderId="60" xfId="0" applyNumberFormat="1" applyFont="1" applyFill="1" applyBorder="1" applyAlignment="1" applyProtection="1">
      <alignment horizontal="center" vertical="center"/>
      <protection locked="0"/>
    </xf>
    <xf numFmtId="3" fontId="7" fillId="3" borderId="55" xfId="0" applyNumberFormat="1" applyFont="1" applyFill="1" applyBorder="1" applyAlignment="1">
      <alignment horizontal="center" vertical="center"/>
    </xf>
    <xf numFmtId="0" fontId="2" fillId="0" borderId="27" xfId="0" applyFont="1" applyFill="1" applyBorder="1"/>
    <xf numFmtId="0" fontId="2" fillId="0" borderId="103" xfId="0" applyFont="1" applyFill="1" applyBorder="1" applyAlignment="1">
      <alignment horizontal="center" wrapText="1"/>
    </xf>
    <xf numFmtId="0" fontId="2" fillId="0" borderId="104" xfId="0" applyFont="1" applyFill="1" applyBorder="1"/>
    <xf numFmtId="0" fontId="2" fillId="0" borderId="105" xfId="0" applyFont="1" applyFill="1" applyBorder="1" applyAlignment="1">
      <alignment horizontal="center" wrapText="1"/>
    </xf>
    <xf numFmtId="0" fontId="2" fillId="0" borderId="104" xfId="0" applyFont="1" applyFill="1" applyBorder="1" applyAlignment="1">
      <alignment horizontal="center"/>
    </xf>
    <xf numFmtId="0" fontId="2" fillId="0" borderId="86" xfId="0" applyFont="1" applyFill="1" applyBorder="1" applyAlignment="1">
      <alignment horizontal="center" wrapText="1"/>
    </xf>
    <xf numFmtId="0" fontId="2" fillId="0" borderId="87" xfId="0" applyFont="1" applyFill="1" applyBorder="1" applyAlignment="1">
      <alignment horizontal="center" wrapText="1"/>
    </xf>
    <xf numFmtId="0" fontId="2" fillId="0" borderId="93" xfId="0" applyFont="1" applyFill="1" applyBorder="1" applyAlignment="1">
      <alignment horizontal="center"/>
    </xf>
    <xf numFmtId="0" fontId="0" fillId="0" borderId="93" xfId="0" applyFill="1" applyBorder="1" applyAlignment="1">
      <alignment horizontal="center"/>
    </xf>
    <xf numFmtId="0" fontId="2" fillId="0" borderId="86" xfId="0" applyFont="1" applyFill="1" applyBorder="1" applyAlignment="1">
      <alignment horizontal="center"/>
    </xf>
    <xf numFmtId="0" fontId="0" fillId="0" borderId="113" xfId="0" applyBorder="1" applyAlignment="1">
      <alignment horizontal="center"/>
    </xf>
    <xf numFmtId="0" fontId="0" fillId="0" borderId="78" xfId="0" applyBorder="1" applyAlignment="1">
      <alignment horizontal="center"/>
    </xf>
    <xf numFmtId="0" fontId="0" fillId="4" borderId="78" xfId="0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2" fillId="0" borderId="78" xfId="0" applyFont="1" applyBorder="1" applyAlignment="1">
      <alignment horizontal="center"/>
    </xf>
    <xf numFmtId="0" fontId="0" fillId="0" borderId="106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107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4" borderId="107" xfId="0" applyFill="1" applyBorder="1" applyAlignment="1">
      <alignment horizontal="center"/>
    </xf>
    <xf numFmtId="0" fontId="0" fillId="4" borderId="64" xfId="0" applyFill="1" applyBorder="1" applyAlignment="1">
      <alignment horizontal="center"/>
    </xf>
    <xf numFmtId="3" fontId="0" fillId="4" borderId="107" xfId="0" applyNumberFormat="1" applyFill="1" applyBorder="1" applyAlignment="1">
      <alignment horizontal="center"/>
    </xf>
    <xf numFmtId="3" fontId="0" fillId="4" borderId="64" xfId="0" applyNumberFormat="1" applyFill="1" applyBorder="1" applyAlignment="1">
      <alignment horizontal="center"/>
    </xf>
    <xf numFmtId="3" fontId="0" fillId="0" borderId="107" xfId="0" applyNumberFormat="1" applyFill="1" applyBorder="1" applyAlignment="1">
      <alignment horizontal="center"/>
    </xf>
    <xf numFmtId="3" fontId="0" fillId="0" borderId="64" xfId="0" applyNumberFormat="1" applyFill="1" applyBorder="1" applyAlignment="1">
      <alignment horizontal="center"/>
    </xf>
    <xf numFmtId="3" fontId="0" fillId="0" borderId="107" xfId="0" applyNumberFormat="1" applyBorder="1" applyAlignment="1">
      <alignment horizontal="center"/>
    </xf>
    <xf numFmtId="3" fontId="0" fillId="0" borderId="64" xfId="0" applyNumberFormat="1" applyBorder="1" applyAlignment="1">
      <alignment horizontal="center"/>
    </xf>
    <xf numFmtId="3" fontId="0" fillId="0" borderId="108" xfId="0" applyNumberFormat="1" applyBorder="1" applyAlignment="1">
      <alignment horizontal="center"/>
    </xf>
    <xf numFmtId="3" fontId="0" fillId="0" borderId="70" xfId="0" applyNumberFormat="1" applyBorder="1" applyAlignment="1">
      <alignment horizontal="center"/>
    </xf>
    <xf numFmtId="3" fontId="2" fillId="0" borderId="67" xfId="0" applyNumberFormat="1" applyFont="1" applyBorder="1" applyAlignment="1">
      <alignment horizontal="center"/>
    </xf>
    <xf numFmtId="3" fontId="2" fillId="0" borderId="68" xfId="0" applyNumberFormat="1" applyFont="1" applyBorder="1" applyAlignment="1">
      <alignment horizontal="center"/>
    </xf>
    <xf numFmtId="16" fontId="0" fillId="0" borderId="116" xfId="0" applyNumberFormat="1" applyFont="1" applyBorder="1" applyAlignment="1" applyProtection="1">
      <alignment horizontal="center" vertical="center"/>
      <protection locked="0"/>
    </xf>
    <xf numFmtId="16" fontId="0" fillId="0" borderId="117" xfId="0" applyNumberFormat="1" applyFont="1" applyBorder="1" applyAlignment="1" applyProtection="1">
      <alignment horizontal="center" vertical="center"/>
      <protection locked="0"/>
    </xf>
    <xf numFmtId="3" fontId="3" fillId="0" borderId="0" xfId="0" applyNumberFormat="1" applyFont="1"/>
    <xf numFmtId="3" fontId="0" fillId="0" borderId="0" xfId="0" applyNumberFormat="1" applyAlignment="1">
      <alignment horizontal="right"/>
    </xf>
    <xf numFmtId="3" fontId="0" fillId="0" borderId="77" xfId="0" applyNumberFormat="1" applyBorder="1" applyAlignment="1">
      <alignment horizontal="right"/>
    </xf>
    <xf numFmtId="3" fontId="0" fillId="0" borderId="66" xfId="0" applyNumberFormat="1" applyBorder="1" applyAlignment="1">
      <alignment horizontal="right"/>
    </xf>
    <xf numFmtId="3" fontId="2" fillId="0" borderId="120" xfId="0" applyNumberFormat="1" applyFont="1" applyBorder="1" applyAlignment="1">
      <alignment horizontal="center" wrapText="1"/>
    </xf>
    <xf numFmtId="3" fontId="0" fillId="0" borderId="119" xfId="0" applyNumberFormat="1" applyBorder="1" applyAlignment="1">
      <alignment horizontal="right"/>
    </xf>
    <xf numFmtId="3" fontId="0" fillId="0" borderId="0" xfId="0" applyNumberFormat="1" applyAlignment="1">
      <alignment horizontal="center" wrapText="1"/>
    </xf>
    <xf numFmtId="3" fontId="19" fillId="0" borderId="0" xfId="0" applyNumberFormat="1" applyFont="1" applyAlignment="1">
      <alignment horizontal="center"/>
    </xf>
    <xf numFmtId="3" fontId="19" fillId="0" borderId="0" xfId="0" applyNumberFormat="1" applyFont="1" applyAlignment="1">
      <alignment horizontal="center" wrapText="1"/>
    </xf>
    <xf numFmtId="3" fontId="2" fillId="0" borderId="2" xfId="0" applyNumberFormat="1" applyFont="1" applyBorder="1" applyAlignment="1">
      <alignment horizontal="center" wrapText="1"/>
    </xf>
    <xf numFmtId="3" fontId="0" fillId="0" borderId="93" xfId="0" applyNumberFormat="1" applyBorder="1"/>
    <xf numFmtId="9" fontId="0" fillId="0" borderId="93" xfId="0" applyNumberFormat="1" applyBorder="1"/>
    <xf numFmtId="3" fontId="0" fillId="0" borderId="121" xfId="0" applyNumberFormat="1" applyBorder="1"/>
    <xf numFmtId="9" fontId="0" fillId="0" borderId="121" xfId="0" applyNumberFormat="1" applyBorder="1"/>
    <xf numFmtId="3" fontId="11" fillId="0" borderId="0" xfId="0" applyNumberFormat="1" applyFont="1" applyAlignment="1">
      <alignment horizontal="center"/>
    </xf>
    <xf numFmtId="3" fontId="0" fillId="4" borderId="0" xfId="0" applyNumberFormat="1" applyFill="1" applyAlignment="1">
      <alignment horizontal="center" wrapText="1"/>
    </xf>
    <xf numFmtId="3" fontId="0" fillId="4" borderId="0" xfId="0" applyNumberFormat="1" applyFill="1"/>
    <xf numFmtId="3" fontId="13" fillId="0" borderId="0" xfId="0" applyNumberFormat="1" applyFont="1"/>
    <xf numFmtId="3" fontId="11" fillId="0" borderId="0" xfId="0" applyNumberFormat="1" applyFont="1" applyAlignment="1"/>
    <xf numFmtId="3" fontId="2" fillId="4" borderId="93" xfId="0" applyNumberFormat="1" applyFont="1" applyFill="1" applyBorder="1" applyAlignment="1">
      <alignment horizontal="center" wrapText="1"/>
    </xf>
    <xf numFmtId="3" fontId="0" fillId="4" borderId="93" xfId="0" applyNumberFormat="1" applyFill="1" applyBorder="1"/>
    <xf numFmtId="3" fontId="2" fillId="0" borderId="3" xfId="0" applyNumberFormat="1" applyFont="1" applyBorder="1" applyAlignment="1">
      <alignment horizontal="center" wrapText="1"/>
    </xf>
    <xf numFmtId="3" fontId="19" fillId="0" borderId="0" xfId="0" applyNumberFormat="1" applyFont="1"/>
    <xf numFmtId="3" fontId="2" fillId="8" borderId="2" xfId="0" applyNumberFormat="1" applyFont="1" applyFill="1" applyBorder="1" applyAlignment="1">
      <alignment horizontal="center" wrapText="1"/>
    </xf>
    <xf numFmtId="9" fontId="0" fillId="8" borderId="93" xfId="0" applyNumberFormat="1" applyFill="1" applyBorder="1"/>
    <xf numFmtId="9" fontId="0" fillId="8" borderId="121" xfId="0" applyNumberFormat="1" applyFill="1" applyBorder="1"/>
    <xf numFmtId="3" fontId="17" fillId="0" borderId="83" xfId="0" applyNumberFormat="1" applyFont="1" applyBorder="1"/>
    <xf numFmtId="9" fontId="0" fillId="0" borderId="0" xfId="0" applyNumberFormat="1"/>
    <xf numFmtId="1" fontId="0" fillId="0" borderId="0" xfId="0" applyNumberFormat="1"/>
    <xf numFmtId="3" fontId="0" fillId="0" borderId="0" xfId="0" applyNumberFormat="1" applyFill="1"/>
    <xf numFmtId="3" fontId="0" fillId="0" borderId="0" xfId="0" applyNumberFormat="1" applyFill="1" applyAlignment="1">
      <alignment horizontal="center" wrapText="1"/>
    </xf>
    <xf numFmtId="3" fontId="2" fillId="0" borderId="0" xfId="0" applyNumberFormat="1" applyFont="1" applyFill="1" applyBorder="1" applyAlignment="1">
      <alignment horizontal="center" wrapText="1"/>
    </xf>
    <xf numFmtId="3" fontId="0" fillId="0" borderId="0" xfId="0" applyNumberFormat="1" applyFill="1" applyBorder="1"/>
    <xf numFmtId="9" fontId="0" fillId="0" borderId="0" xfId="0" applyNumberFormat="1" applyFill="1" applyBorder="1"/>
    <xf numFmtId="3" fontId="0" fillId="0" borderId="0" xfId="0" applyNumberFormat="1" applyFont="1" applyFill="1" applyBorder="1"/>
    <xf numFmtId="0" fontId="17" fillId="0" borderId="0" xfId="0" applyFont="1" applyFill="1" applyBorder="1" applyAlignment="1">
      <alignment horizontal="right"/>
    </xf>
    <xf numFmtId="3" fontId="0" fillId="0" borderId="123" xfId="0" applyNumberFormat="1" applyBorder="1"/>
    <xf numFmtId="3" fontId="0" fillId="0" borderId="124" xfId="0" applyNumberFormat="1" applyBorder="1"/>
    <xf numFmtId="3" fontId="0" fillId="0" borderId="125" xfId="0" applyNumberFormat="1" applyBorder="1"/>
    <xf numFmtId="3" fontId="0" fillId="0" borderId="126" xfId="0" applyNumberFormat="1" applyBorder="1"/>
    <xf numFmtId="3" fontId="0" fillId="0" borderId="128" xfId="0" applyNumberFormat="1" applyBorder="1"/>
    <xf numFmtId="3" fontId="0" fillId="0" borderId="127" xfId="0" applyNumberFormat="1" applyBorder="1"/>
    <xf numFmtId="3" fontId="0" fillId="0" borderId="44" xfId="0" applyNumberFormat="1" applyBorder="1"/>
    <xf numFmtId="3" fontId="0" fillId="0" borderId="129" xfId="0" applyNumberFormat="1" applyBorder="1"/>
    <xf numFmtId="3" fontId="0" fillId="0" borderId="130" xfId="0" applyNumberFormat="1" applyBorder="1"/>
    <xf numFmtId="3" fontId="17" fillId="0" borderId="131" xfId="0" applyNumberFormat="1" applyFont="1" applyBorder="1"/>
    <xf numFmtId="3" fontId="0" fillId="0" borderId="132" xfId="0" applyNumberFormat="1" applyFont="1" applyBorder="1"/>
    <xf numFmtId="3" fontId="0" fillId="0" borderId="129" xfId="0" applyNumberFormat="1" applyFont="1" applyBorder="1"/>
    <xf numFmtId="3" fontId="0" fillId="0" borderId="130" xfId="0" applyNumberFormat="1" applyFont="1" applyBorder="1"/>
    <xf numFmtId="3" fontId="0" fillId="0" borderId="0" xfId="0" applyNumberFormat="1" applyFont="1"/>
    <xf numFmtId="3" fontId="0" fillId="0" borderId="128" xfId="0" applyNumberFormat="1" applyFont="1" applyBorder="1"/>
    <xf numFmtId="3" fontId="0" fillId="0" borderId="80" xfId="0" applyNumberFormat="1" applyFont="1" applyBorder="1"/>
    <xf numFmtId="3" fontId="0" fillId="0" borderId="88" xfId="0" applyNumberFormat="1" applyFont="1" applyBorder="1"/>
    <xf numFmtId="3" fontId="0" fillId="0" borderId="98" xfId="0" applyNumberFormat="1" applyFont="1" applyBorder="1"/>
    <xf numFmtId="3" fontId="17" fillId="0" borderId="89" xfId="0" applyNumberFormat="1" applyFont="1" applyBorder="1"/>
    <xf numFmtId="3" fontId="19" fillId="0" borderId="0" xfId="0" applyNumberFormat="1" applyFont="1" applyFill="1" applyAlignment="1">
      <alignment horizontal="right"/>
    </xf>
    <xf numFmtId="0" fontId="7" fillId="0" borderId="7" xfId="0" applyFont="1" applyBorder="1"/>
    <xf numFmtId="0" fontId="7" fillId="0" borderId="0" xfId="0" applyFont="1" applyAlignment="1">
      <alignment horizontal="center"/>
    </xf>
    <xf numFmtId="0" fontId="7" fillId="0" borderId="133" xfId="0" applyFont="1" applyBorder="1" applyAlignment="1">
      <alignment horizontal="center"/>
    </xf>
    <xf numFmtId="0" fontId="7" fillId="0" borderId="115" xfId="0" applyFont="1" applyBorder="1" applyAlignment="1">
      <alignment horizontal="center"/>
    </xf>
    <xf numFmtId="0" fontId="13" fillId="0" borderId="0" xfId="0" applyFont="1"/>
    <xf numFmtId="0" fontId="6" fillId="0" borderId="0" xfId="0" applyFont="1" applyAlignment="1">
      <alignment horizontal="right" wrapText="1"/>
    </xf>
    <xf numFmtId="0" fontId="6" fillId="0" borderId="7" xfId="0" applyFont="1" applyBorder="1" applyAlignment="1">
      <alignment horizontal="right" wrapText="1"/>
    </xf>
    <xf numFmtId="0" fontId="6" fillId="0" borderId="39" xfId="0" applyFont="1" applyBorder="1" applyAlignment="1">
      <alignment horizontal="right" wrapText="1"/>
    </xf>
    <xf numFmtId="0" fontId="6" fillId="0" borderId="0" xfId="0" applyFont="1" applyBorder="1" applyAlignment="1">
      <alignment horizontal="right" wrapText="1"/>
    </xf>
    <xf numFmtId="0" fontId="7" fillId="0" borderId="8" xfId="0" applyFont="1" applyBorder="1" applyAlignment="1">
      <alignment horizontal="center"/>
    </xf>
    <xf numFmtId="0" fontId="13" fillId="0" borderId="3" xfId="0" applyFont="1" applyBorder="1"/>
    <xf numFmtId="0" fontId="7" fillId="0" borderId="101" xfId="0" applyFont="1" applyBorder="1" applyAlignment="1">
      <alignment horizontal="center"/>
    </xf>
    <xf numFmtId="0" fontId="6" fillId="0" borderId="134" xfId="0" applyFont="1" applyBorder="1" applyAlignment="1">
      <alignment horizontal="right" wrapText="1"/>
    </xf>
    <xf numFmtId="0" fontId="6" fillId="0" borderId="114" xfId="0" applyFont="1" applyBorder="1" applyAlignment="1">
      <alignment horizontal="right" wrapText="1"/>
    </xf>
    <xf numFmtId="0" fontId="7" fillId="0" borderId="3" xfId="0" applyFont="1" applyBorder="1" applyAlignment="1">
      <alignment horizontal="center" wrapText="1"/>
    </xf>
    <xf numFmtId="0" fontId="7" fillId="0" borderId="3" xfId="0" applyFont="1" applyBorder="1" applyAlignment="1">
      <alignment wrapText="1"/>
    </xf>
    <xf numFmtId="0" fontId="21" fillId="0" borderId="7" xfId="0" applyFont="1" applyBorder="1"/>
    <xf numFmtId="0" fontId="12" fillId="0" borderId="7" xfId="0" applyFont="1" applyBorder="1"/>
    <xf numFmtId="0" fontId="12" fillId="0" borderId="39" xfId="0" applyFont="1" applyBorder="1"/>
    <xf numFmtId="1" fontId="0" fillId="0" borderId="0" xfId="0" applyNumberFormat="1" applyFill="1" applyBorder="1"/>
    <xf numFmtId="3" fontId="0" fillId="0" borderId="125" xfId="0" applyNumberFormat="1" applyFont="1" applyBorder="1"/>
    <xf numFmtId="3" fontId="0" fillId="0" borderId="126" xfId="0" applyNumberFormat="1" applyFont="1" applyBorder="1"/>
    <xf numFmtId="3" fontId="17" fillId="0" borderId="127" xfId="0" applyNumberFormat="1" applyFont="1" applyBorder="1"/>
    <xf numFmtId="10" fontId="0" fillId="0" borderId="0" xfId="0" applyNumberFormat="1"/>
    <xf numFmtId="3" fontId="19" fillId="0" borderId="0" xfId="0" applyNumberFormat="1" applyFont="1" applyBorder="1" applyAlignment="1">
      <alignment horizontal="center"/>
    </xf>
    <xf numFmtId="3" fontId="0" fillId="4" borderId="121" xfId="0" applyNumberFormat="1" applyFill="1" applyBorder="1"/>
    <xf numFmtId="3" fontId="0" fillId="4" borderId="7" xfId="0" applyNumberFormat="1" applyFill="1" applyBorder="1"/>
    <xf numFmtId="3" fontId="0" fillId="0" borderId="7" xfId="0" applyNumberFormat="1" applyBorder="1"/>
    <xf numFmtId="3" fontId="0" fillId="0" borderId="135" xfId="0" applyNumberFormat="1" applyFont="1" applyBorder="1"/>
    <xf numFmtId="3" fontId="0" fillId="0" borderId="136" xfId="0" applyNumberFormat="1" applyBorder="1"/>
    <xf numFmtId="3" fontId="10" fillId="0" borderId="2" xfId="0" applyNumberFormat="1" applyFont="1" applyBorder="1" applyAlignment="1">
      <alignment horizontal="center" wrapText="1"/>
    </xf>
    <xf numFmtId="3" fontId="0" fillId="0" borderId="0" xfId="0" applyNumberFormat="1" applyAlignment="1">
      <alignment horizontal="center"/>
    </xf>
    <xf numFmtId="3" fontId="0" fillId="0" borderId="3" xfId="0" applyNumberFormat="1" applyBorder="1"/>
    <xf numFmtId="9" fontId="0" fillId="0" borderId="3" xfId="0" applyNumberFormat="1" applyBorder="1"/>
    <xf numFmtId="9" fontId="0" fillId="0" borderId="2" xfId="0" applyNumberFormat="1" applyBorder="1"/>
    <xf numFmtId="3" fontId="0" fillId="0" borderId="1" xfId="0" applyNumberFormat="1" applyBorder="1"/>
    <xf numFmtId="3" fontId="0" fillId="0" borderId="1" xfId="0" applyNumberFormat="1" applyBorder="1" applyAlignment="1">
      <alignment horizontal="center"/>
    </xf>
    <xf numFmtId="1" fontId="0" fillId="0" borderId="2" xfId="0" applyNumberFormat="1" applyBorder="1"/>
    <xf numFmtId="1" fontId="0" fillId="0" borderId="3" xfId="0" applyNumberFormat="1" applyBorder="1"/>
    <xf numFmtId="3" fontId="17" fillId="0" borderId="0" xfId="0" applyNumberFormat="1" applyFont="1"/>
    <xf numFmtId="9" fontId="17" fillId="0" borderId="0" xfId="0" applyNumberFormat="1" applyFont="1"/>
    <xf numFmtId="3" fontId="0" fillId="0" borderId="0" xfId="0" applyNumberFormat="1" applyAlignment="1">
      <alignment horizontal="center" vertical="center"/>
    </xf>
    <xf numFmtId="3" fontId="10" fillId="0" borderId="149" xfId="0" applyNumberFormat="1" applyFont="1" applyBorder="1" applyAlignment="1" applyProtection="1">
      <alignment horizontal="center" vertical="center" wrapText="1"/>
      <protection locked="0"/>
    </xf>
    <xf numFmtId="3" fontId="4" fillId="3" borderId="155" xfId="0" applyNumberFormat="1" applyFont="1" applyFill="1" applyBorder="1" applyAlignment="1" applyProtection="1">
      <alignment horizontal="center" vertical="center"/>
      <protection locked="0"/>
    </xf>
    <xf numFmtId="3" fontId="0" fillId="0" borderId="56" xfId="0" applyNumberFormat="1" applyFont="1" applyBorder="1" applyAlignment="1">
      <alignment horizontal="center" vertical="center"/>
    </xf>
    <xf numFmtId="3" fontId="0" fillId="0" borderId="40" xfId="0" applyNumberFormat="1" applyFont="1" applyBorder="1" applyAlignment="1">
      <alignment horizontal="center" vertical="center"/>
    </xf>
    <xf numFmtId="3" fontId="0" fillId="0" borderId="153" xfId="0" applyNumberFormat="1" applyFont="1" applyBorder="1" applyAlignment="1">
      <alignment horizontal="center" vertical="center"/>
    </xf>
    <xf numFmtId="3" fontId="0" fillId="4" borderId="47" xfId="0" applyNumberFormat="1" applyFont="1" applyFill="1" applyBorder="1" applyAlignment="1">
      <alignment horizontal="center" vertical="center"/>
    </xf>
    <xf numFmtId="3" fontId="0" fillId="4" borderId="41" xfId="0" applyNumberFormat="1" applyFont="1" applyFill="1" applyBorder="1" applyAlignment="1">
      <alignment horizontal="center" vertical="center"/>
    </xf>
    <xf numFmtId="3" fontId="0" fillId="4" borderId="154" xfId="0" applyNumberFormat="1" applyFont="1" applyFill="1" applyBorder="1" applyAlignment="1">
      <alignment horizontal="center" vertical="center"/>
    </xf>
    <xf numFmtId="3" fontId="0" fillId="0" borderId="47" xfId="0" applyNumberFormat="1" applyFont="1" applyBorder="1" applyAlignment="1">
      <alignment horizontal="center" vertical="center"/>
    </xf>
    <xf numFmtId="3" fontId="0" fillId="0" borderId="41" xfId="0" applyNumberFormat="1" applyFont="1" applyBorder="1" applyAlignment="1">
      <alignment horizontal="center" vertical="center"/>
    </xf>
    <xf numFmtId="3" fontId="0" fillId="0" borderId="154" xfId="0" applyNumberFormat="1" applyFont="1" applyBorder="1" applyAlignment="1">
      <alignment horizontal="center" vertical="center"/>
    </xf>
    <xf numFmtId="0" fontId="2" fillId="0" borderId="0" xfId="0" applyFont="1"/>
    <xf numFmtId="3" fontId="2" fillId="0" borderId="0" xfId="0" applyNumberFormat="1" applyFont="1" applyAlignment="1">
      <alignment horizontal="left"/>
    </xf>
    <xf numFmtId="0" fontId="0" fillId="0" borderId="0" xfId="0" applyProtection="1"/>
    <xf numFmtId="0" fontId="5" fillId="0" borderId="0" xfId="0" applyFont="1" applyAlignment="1" applyProtection="1">
      <alignment horizontal="left"/>
    </xf>
    <xf numFmtId="0" fontId="5" fillId="0" borderId="0" xfId="0" applyFont="1" applyProtection="1"/>
    <xf numFmtId="0" fontId="7" fillId="7" borderId="3" xfId="0" applyFont="1" applyFill="1" applyBorder="1" applyAlignment="1" applyProtection="1">
      <alignment horizontal="center" vertical="center" wrapText="1"/>
    </xf>
    <xf numFmtId="0" fontId="12" fillId="7" borderId="1" xfId="0" applyFont="1" applyFill="1" applyBorder="1" applyAlignment="1" applyProtection="1">
      <alignment horizontal="center" vertical="center" wrapText="1"/>
    </xf>
    <xf numFmtId="0" fontId="12" fillId="7" borderId="3" xfId="0" applyFont="1" applyFill="1" applyBorder="1" applyAlignment="1" applyProtection="1">
      <alignment horizontal="center" vertical="center" wrapText="1"/>
    </xf>
    <xf numFmtId="3" fontId="12" fillId="0" borderId="122" xfId="0" applyNumberFormat="1" applyFont="1" applyBorder="1" applyAlignment="1" applyProtection="1">
      <alignment horizontal="center" vertical="center"/>
    </xf>
    <xf numFmtId="166" fontId="12" fillId="0" borderId="122" xfId="0" applyNumberFormat="1" applyFont="1" applyBorder="1" applyAlignment="1" applyProtection="1">
      <alignment horizontal="center" vertical="center"/>
    </xf>
    <xf numFmtId="0" fontId="3" fillId="0" borderId="0" xfId="0" applyFont="1" applyProtection="1"/>
    <xf numFmtId="3" fontId="0" fillId="0" borderId="0" xfId="0" applyNumberFormat="1" applyProtection="1"/>
    <xf numFmtId="0" fontId="1" fillId="0" borderId="0" xfId="0" applyFont="1" applyProtection="1"/>
    <xf numFmtId="3" fontId="7" fillId="3" borderId="3" xfId="0" applyNumberFormat="1" applyFont="1" applyFill="1" applyBorder="1" applyAlignment="1" applyProtection="1">
      <alignment horizontal="center" vertical="center"/>
    </xf>
    <xf numFmtId="0" fontId="13" fillId="0" borderId="0" xfId="0" applyFont="1" applyProtection="1"/>
    <xf numFmtId="3" fontId="7" fillId="0" borderId="3" xfId="0" applyNumberFormat="1" applyFont="1" applyBorder="1" applyAlignment="1" applyProtection="1">
      <alignment horizontal="center" vertical="center"/>
    </xf>
    <xf numFmtId="9" fontId="7" fillId="0" borderId="3" xfId="0" applyNumberFormat="1" applyFont="1" applyBorder="1" applyAlignment="1" applyProtection="1">
      <alignment horizontal="center" vertical="center"/>
    </xf>
    <xf numFmtId="164" fontId="4" fillId="0" borderId="4" xfId="0" quotePrefix="1" applyNumberFormat="1" applyFont="1" applyBorder="1" applyAlignment="1" applyProtection="1">
      <alignment horizontal="center"/>
    </xf>
    <xf numFmtId="3" fontId="4" fillId="0" borderId="4" xfId="0" quotePrefix="1" applyNumberFormat="1" applyFont="1" applyBorder="1" applyAlignment="1" applyProtection="1">
      <alignment horizontal="center"/>
    </xf>
    <xf numFmtId="0" fontId="2" fillId="0" borderId="7" xfId="0" applyFont="1" applyBorder="1" applyAlignment="1" applyProtection="1">
      <alignment horizontal="center" vertical="center"/>
    </xf>
    <xf numFmtId="3" fontId="4" fillId="3" borderId="152" xfId="0" applyNumberFormat="1" applyFont="1" applyFill="1" applyBorder="1" applyAlignment="1" applyProtection="1">
      <alignment horizontal="center" vertical="center"/>
    </xf>
    <xf numFmtId="3" fontId="10" fillId="0" borderId="48" xfId="0" applyNumberFormat="1" applyFont="1" applyBorder="1" applyAlignment="1" applyProtection="1">
      <alignment horizontal="center" vertical="center"/>
    </xf>
    <xf numFmtId="3" fontId="10" fillId="0" borderId="49" xfId="0" applyNumberFormat="1" applyFont="1" applyBorder="1" applyAlignment="1" applyProtection="1">
      <alignment horizontal="center" vertical="center"/>
    </xf>
    <xf numFmtId="16" fontId="0" fillId="0" borderId="116" xfId="0" applyNumberFormat="1" applyFont="1" applyBorder="1" applyAlignment="1" applyProtection="1">
      <alignment horizontal="center" vertical="center"/>
    </xf>
    <xf numFmtId="3" fontId="7" fillId="3" borderId="57" xfId="0" applyNumberFormat="1" applyFont="1" applyFill="1" applyBorder="1" applyAlignment="1" applyProtection="1">
      <alignment horizontal="center" vertical="center"/>
    </xf>
    <xf numFmtId="3" fontId="0" fillId="0" borderId="56" xfId="0" applyNumberFormat="1" applyFont="1" applyBorder="1" applyAlignment="1" applyProtection="1">
      <alignment horizontal="center" vertical="center"/>
    </xf>
    <xf numFmtId="3" fontId="0" fillId="0" borderId="40" xfId="0" applyNumberFormat="1" applyFont="1" applyBorder="1" applyAlignment="1" applyProtection="1">
      <alignment horizontal="center" vertical="center"/>
    </xf>
    <xf numFmtId="3" fontId="0" fillId="0" borderId="91" xfId="0" applyNumberFormat="1" applyFont="1" applyBorder="1" applyAlignment="1" applyProtection="1">
      <alignment horizontal="center" vertical="center"/>
    </xf>
    <xf numFmtId="16" fontId="0" fillId="0" borderId="117" xfId="0" applyNumberFormat="1" applyFont="1" applyBorder="1" applyAlignment="1" applyProtection="1">
      <alignment horizontal="center" vertical="center"/>
    </xf>
    <xf numFmtId="3" fontId="7" fillId="4" borderId="58" xfId="0" applyNumberFormat="1" applyFont="1" applyFill="1" applyBorder="1" applyAlignment="1" applyProtection="1">
      <alignment horizontal="center" vertical="center"/>
    </xf>
    <xf numFmtId="3" fontId="0" fillId="4" borderId="47" xfId="0" applyNumberFormat="1" applyFont="1" applyFill="1" applyBorder="1" applyAlignment="1" applyProtection="1">
      <alignment horizontal="center" vertical="center"/>
    </xf>
    <xf numFmtId="3" fontId="0" fillId="4" borderId="41" xfId="0" applyNumberFormat="1" applyFont="1" applyFill="1" applyBorder="1" applyAlignment="1" applyProtection="1">
      <alignment horizontal="center" vertical="center"/>
    </xf>
    <xf numFmtId="3" fontId="0" fillId="4" borderId="82" xfId="0" applyNumberFormat="1" applyFont="1" applyFill="1" applyBorder="1" applyAlignment="1" applyProtection="1">
      <alignment horizontal="center" vertical="center"/>
    </xf>
    <xf numFmtId="0" fontId="0" fillId="0" borderId="0" xfId="0" applyAlignment="1" applyProtection="1">
      <alignment horizontal="center" vertical="center"/>
    </xf>
    <xf numFmtId="3" fontId="7" fillId="3" borderId="60" xfId="0" applyNumberFormat="1" applyFont="1" applyFill="1" applyBorder="1" applyAlignment="1" applyProtection="1">
      <alignment horizontal="center" vertical="center"/>
    </xf>
    <xf numFmtId="3" fontId="0" fillId="0" borderId="47" xfId="0" applyNumberFormat="1" applyFont="1" applyBorder="1" applyAlignment="1" applyProtection="1">
      <alignment horizontal="center" vertical="center"/>
    </xf>
    <xf numFmtId="3" fontId="0" fillId="0" borderId="41" xfId="0" applyNumberFormat="1" applyFont="1" applyBorder="1" applyAlignment="1" applyProtection="1">
      <alignment horizontal="center" vertical="center"/>
    </xf>
    <xf numFmtId="3" fontId="0" fillId="0" borderId="82" xfId="0" applyNumberFormat="1" applyFont="1" applyBorder="1" applyAlignment="1" applyProtection="1">
      <alignment horizontal="center" vertical="center"/>
    </xf>
    <xf numFmtId="3" fontId="7" fillId="4" borderId="145" xfId="0" applyNumberFormat="1" applyFont="1" applyFill="1" applyBorder="1" applyAlignment="1" applyProtection="1">
      <alignment horizontal="center" vertical="center"/>
    </xf>
    <xf numFmtId="3" fontId="7" fillId="4" borderId="59" xfId="0" applyNumberFormat="1" applyFont="1" applyFill="1" applyBorder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</xf>
    <xf numFmtId="3" fontId="7" fillId="4" borderId="60" xfId="0" applyNumberFormat="1" applyFont="1" applyFill="1" applyBorder="1" applyAlignment="1" applyProtection="1">
      <alignment horizontal="center" vertical="center"/>
    </xf>
    <xf numFmtId="16" fontId="0" fillId="0" borderId="118" xfId="0" applyNumberFormat="1" applyFont="1" applyBorder="1" applyAlignment="1" applyProtection="1">
      <alignment horizontal="center" vertical="center"/>
    </xf>
    <xf numFmtId="3" fontId="7" fillId="3" borderId="55" xfId="0" applyNumberFormat="1" applyFont="1" applyFill="1" applyBorder="1" applyAlignment="1" applyProtection="1">
      <alignment horizontal="center" vertical="center"/>
    </xf>
    <xf numFmtId="3" fontId="19" fillId="0" borderId="0" xfId="0" applyNumberFormat="1" applyFont="1" applyProtection="1"/>
    <xf numFmtId="3" fontId="3" fillId="0" borderId="0" xfId="0" applyNumberFormat="1" applyFont="1" applyProtection="1"/>
    <xf numFmtId="0" fontId="2" fillId="0" borderId="0" xfId="0" applyFont="1" applyProtection="1"/>
    <xf numFmtId="3" fontId="2" fillId="0" borderId="0" xfId="0" applyNumberFormat="1" applyFont="1" applyAlignment="1" applyProtection="1">
      <alignment horizontal="left"/>
    </xf>
    <xf numFmtId="0" fontId="2" fillId="0" borderId="7" xfId="0" applyFont="1" applyFill="1" applyBorder="1" applyAlignment="1" applyProtection="1">
      <alignment horizontal="center" vertical="center"/>
    </xf>
    <xf numFmtId="3" fontId="4" fillId="3" borderId="155" xfId="0" applyNumberFormat="1" applyFont="1" applyFill="1" applyBorder="1" applyAlignment="1" applyProtection="1">
      <alignment horizontal="center" vertical="center"/>
    </xf>
    <xf numFmtId="3" fontId="12" fillId="0" borderId="48" xfId="0" applyNumberFormat="1" applyFont="1" applyFill="1" applyBorder="1" applyAlignment="1" applyProtection="1">
      <alignment horizontal="center" vertical="center"/>
    </xf>
    <xf numFmtId="3" fontId="12" fillId="0" borderId="49" xfId="0" applyNumberFormat="1" applyFont="1" applyFill="1" applyBorder="1" applyAlignment="1" applyProtection="1">
      <alignment horizontal="center" vertical="center"/>
    </xf>
    <xf numFmtId="3" fontId="12" fillId="0" borderId="87" xfId="0" applyNumberFormat="1" applyFont="1" applyFill="1" applyBorder="1" applyAlignment="1" applyProtection="1">
      <alignment horizontal="center" vertical="center" wrapText="1"/>
    </xf>
    <xf numFmtId="3" fontId="7" fillId="3" borderId="59" xfId="0" applyNumberFormat="1" applyFont="1" applyFill="1" applyBorder="1" applyAlignment="1" applyProtection="1">
      <alignment horizontal="center" vertical="center"/>
    </xf>
    <xf numFmtId="3" fontId="4" fillId="0" borderId="0" xfId="0" quotePrefix="1" applyNumberFormat="1" applyFont="1" applyBorder="1" applyAlignment="1" applyProtection="1">
      <alignment horizontal="center"/>
    </xf>
    <xf numFmtId="0" fontId="2" fillId="0" borderId="7" xfId="0" applyFont="1" applyBorder="1" applyAlignment="1" applyProtection="1">
      <alignment horizontal="center" wrapText="1"/>
    </xf>
    <xf numFmtId="3" fontId="4" fillId="3" borderId="156" xfId="0" applyNumberFormat="1" applyFont="1" applyFill="1" applyBorder="1" applyAlignment="1" applyProtection="1">
      <alignment horizontal="center" wrapText="1"/>
    </xf>
    <xf numFmtId="3" fontId="10" fillId="7" borderId="141" xfId="0" applyNumberFormat="1" applyFont="1" applyFill="1" applyBorder="1" applyAlignment="1" applyProtection="1">
      <alignment horizontal="center" wrapText="1"/>
    </xf>
    <xf numFmtId="0" fontId="2" fillId="7" borderId="142" xfId="0" applyFont="1" applyFill="1" applyBorder="1" applyAlignment="1" applyProtection="1">
      <alignment horizontal="center" wrapText="1"/>
    </xf>
    <xf numFmtId="0" fontId="2" fillId="7" borderId="143" xfId="0" applyFont="1" applyFill="1" applyBorder="1" applyAlignment="1" applyProtection="1">
      <alignment horizontal="center" wrapText="1"/>
    </xf>
    <xf numFmtId="0" fontId="2" fillId="7" borderId="144" xfId="0" applyFont="1" applyFill="1" applyBorder="1" applyAlignment="1" applyProtection="1">
      <alignment horizontal="center" wrapText="1"/>
    </xf>
    <xf numFmtId="0" fontId="2" fillId="0" borderId="0" xfId="0" applyFont="1" applyAlignment="1" applyProtection="1">
      <alignment horizontal="center" wrapText="1"/>
    </xf>
    <xf numFmtId="3" fontId="0" fillId="0" borderId="137" xfId="0" applyNumberFormat="1" applyFont="1" applyBorder="1" applyAlignment="1" applyProtection="1">
      <alignment horizontal="center" vertical="center"/>
    </xf>
    <xf numFmtId="3" fontId="0" fillId="4" borderId="137" xfId="0" applyNumberFormat="1" applyFont="1" applyFill="1" applyBorder="1" applyAlignment="1" applyProtection="1">
      <alignment horizontal="center" vertical="center"/>
    </xf>
    <xf numFmtId="3" fontId="7" fillId="3" borderId="58" xfId="0" applyNumberFormat="1" applyFont="1" applyFill="1" applyBorder="1" applyAlignment="1" applyProtection="1">
      <alignment horizontal="center" vertical="center"/>
    </xf>
    <xf numFmtId="3" fontId="0" fillId="0" borderId="138" xfId="0" applyNumberFormat="1" applyFont="1" applyBorder="1" applyAlignment="1" applyProtection="1">
      <alignment horizontal="center" vertical="center"/>
    </xf>
    <xf numFmtId="3" fontId="0" fillId="4" borderId="138" xfId="0" applyNumberFormat="1" applyFont="1" applyFill="1" applyBorder="1" applyAlignment="1" applyProtection="1">
      <alignment horizontal="center" vertical="center"/>
    </xf>
    <xf numFmtId="3" fontId="0" fillId="0" borderId="138" xfId="0" applyNumberFormat="1" applyFont="1" applyFill="1" applyBorder="1" applyAlignment="1" applyProtection="1">
      <alignment horizontal="center" vertical="center"/>
    </xf>
    <xf numFmtId="3" fontId="0" fillId="0" borderId="41" xfId="0" applyNumberFormat="1" applyFont="1" applyFill="1" applyBorder="1" applyAlignment="1" applyProtection="1">
      <alignment horizontal="center" vertical="center"/>
    </xf>
    <xf numFmtId="3" fontId="10" fillId="7" borderId="159" xfId="0" applyNumberFormat="1" applyFont="1" applyFill="1" applyBorder="1" applyAlignment="1" applyProtection="1">
      <alignment horizontal="center" wrapText="1"/>
    </xf>
    <xf numFmtId="0" fontId="2" fillId="7" borderId="160" xfId="0" applyFont="1" applyFill="1" applyBorder="1" applyAlignment="1" applyProtection="1">
      <alignment horizontal="center" wrapText="1"/>
    </xf>
    <xf numFmtId="3" fontId="0" fillId="0" borderId="157" xfId="0" applyNumberFormat="1" applyFont="1" applyBorder="1" applyAlignment="1" applyProtection="1">
      <alignment horizontal="center" vertical="center"/>
    </xf>
    <xf numFmtId="3" fontId="0" fillId="0" borderId="158" xfId="0" applyNumberFormat="1" applyFont="1" applyBorder="1" applyAlignment="1" applyProtection="1">
      <alignment horizontal="center" vertical="center"/>
    </xf>
    <xf numFmtId="3" fontId="0" fillId="0" borderId="147" xfId="0" applyNumberFormat="1" applyFont="1" applyBorder="1" applyAlignment="1" applyProtection="1">
      <alignment horizontal="center" vertical="center"/>
    </xf>
    <xf numFmtId="3" fontId="0" fillId="0" borderId="148" xfId="0" applyNumberFormat="1" applyFont="1" applyBorder="1" applyAlignment="1" applyProtection="1">
      <alignment horizontal="center" vertical="center"/>
    </xf>
    <xf numFmtId="3" fontId="0" fillId="4" borderId="147" xfId="0" applyNumberFormat="1" applyFont="1" applyFill="1" applyBorder="1" applyAlignment="1" applyProtection="1">
      <alignment horizontal="center" vertical="center"/>
    </xf>
    <xf numFmtId="3" fontId="0" fillId="4" borderId="148" xfId="0" applyNumberFormat="1" applyFont="1" applyFill="1" applyBorder="1" applyAlignment="1" applyProtection="1">
      <alignment horizontal="center" vertical="center"/>
    </xf>
    <xf numFmtId="0" fontId="2" fillId="0" borderId="0" xfId="0" applyFont="1" applyAlignment="1" applyProtection="1">
      <alignment horizontal="right" indent="1"/>
    </xf>
    <xf numFmtId="0" fontId="2" fillId="0" borderId="0" xfId="0" applyFont="1" applyAlignment="1" applyProtection="1">
      <alignment horizontal="right"/>
    </xf>
    <xf numFmtId="16" fontId="0" fillId="0" borderId="161" xfId="0" applyNumberFormat="1" applyFont="1" applyBorder="1" applyAlignment="1" applyProtection="1">
      <alignment horizontal="center" vertical="center"/>
    </xf>
    <xf numFmtId="3" fontId="7" fillId="3" borderId="162" xfId="0" applyNumberFormat="1" applyFont="1" applyFill="1" applyBorder="1" applyAlignment="1" applyProtection="1">
      <alignment horizontal="center" vertical="center"/>
    </xf>
    <xf numFmtId="3" fontId="7" fillId="3" borderId="163" xfId="0" applyNumberFormat="1" applyFont="1" applyFill="1" applyBorder="1" applyAlignment="1" applyProtection="1">
      <alignment horizontal="center" vertical="center"/>
    </xf>
    <xf numFmtId="3" fontId="7" fillId="4" borderId="146" xfId="0" applyNumberFormat="1" applyFont="1" applyFill="1" applyBorder="1" applyAlignment="1" applyProtection="1">
      <alignment horizontal="center" vertical="center"/>
    </xf>
    <xf numFmtId="3" fontId="0" fillId="4" borderId="43" xfId="0" applyNumberFormat="1" applyFont="1" applyFill="1" applyBorder="1" applyAlignment="1" applyProtection="1">
      <alignment horizontal="center" vertical="center"/>
    </xf>
    <xf numFmtId="3" fontId="0" fillId="4" borderId="139" xfId="0" applyNumberFormat="1" applyFont="1" applyFill="1" applyBorder="1" applyAlignment="1" applyProtection="1">
      <alignment horizontal="center" vertical="center"/>
    </xf>
    <xf numFmtId="3" fontId="0" fillId="4" borderId="166" xfId="0" applyNumberFormat="1" applyFont="1" applyFill="1" applyBorder="1" applyAlignment="1" applyProtection="1">
      <alignment horizontal="center" vertical="center"/>
    </xf>
    <xf numFmtId="3" fontId="0" fillId="0" borderId="167" xfId="0" applyNumberFormat="1" applyFont="1" applyBorder="1" applyAlignment="1" applyProtection="1">
      <alignment horizontal="center" vertical="center"/>
    </xf>
    <xf numFmtId="3" fontId="7" fillId="4" borderId="168" xfId="0" applyNumberFormat="1" applyFont="1" applyFill="1" applyBorder="1" applyAlignment="1" applyProtection="1">
      <alignment horizontal="center" vertical="center"/>
    </xf>
    <xf numFmtId="3" fontId="7" fillId="3" borderId="169" xfId="0" applyNumberFormat="1" applyFont="1" applyFill="1" applyBorder="1" applyAlignment="1" applyProtection="1">
      <alignment horizontal="center" vertical="center"/>
    </xf>
    <xf numFmtId="3" fontId="0" fillId="4" borderId="170" xfId="0" applyNumberFormat="1" applyFont="1" applyFill="1" applyBorder="1" applyAlignment="1" applyProtection="1">
      <alignment horizontal="center" vertical="center"/>
    </xf>
    <xf numFmtId="16" fontId="0" fillId="0" borderId="171" xfId="0" applyNumberFormat="1" applyFont="1" applyBorder="1" applyAlignment="1" applyProtection="1">
      <alignment horizontal="center" vertical="center"/>
    </xf>
    <xf numFmtId="16" fontId="0" fillId="0" borderId="172" xfId="0" applyNumberFormat="1" applyFont="1" applyBorder="1" applyAlignment="1" applyProtection="1">
      <alignment horizontal="center" vertical="center"/>
    </xf>
    <xf numFmtId="16" fontId="0" fillId="0" borderId="173" xfId="0" applyNumberFormat="1" applyFont="1" applyBorder="1" applyAlignment="1" applyProtection="1">
      <alignment horizontal="center" vertical="center"/>
    </xf>
    <xf numFmtId="3" fontId="0" fillId="0" borderId="42" xfId="0" applyNumberFormat="1" applyFont="1" applyBorder="1" applyAlignment="1" applyProtection="1">
      <alignment horizontal="center" vertical="center"/>
    </xf>
    <xf numFmtId="3" fontId="0" fillId="0" borderId="174" xfId="0" applyNumberFormat="1" applyFont="1" applyBorder="1" applyAlignment="1" applyProtection="1">
      <alignment horizontal="center" vertical="center"/>
    </xf>
    <xf numFmtId="3" fontId="2" fillId="3" borderId="54" xfId="0" applyNumberFormat="1" applyFont="1" applyFill="1" applyBorder="1" applyAlignment="1" applyProtection="1">
      <alignment horizontal="center" vertical="center"/>
      <protection locked="0"/>
    </xf>
    <xf numFmtId="3" fontId="7" fillId="3" borderId="112" xfId="0" applyNumberFormat="1" applyFont="1" applyFill="1" applyBorder="1" applyAlignment="1">
      <alignment horizontal="center" vertical="center"/>
    </xf>
    <xf numFmtId="3" fontId="7" fillId="3" borderId="53" xfId="0" applyNumberFormat="1" applyFont="1" applyFill="1" applyBorder="1" applyAlignment="1">
      <alignment horizontal="center" vertical="center"/>
    </xf>
    <xf numFmtId="3" fontId="2" fillId="3" borderId="54" xfId="0" applyNumberFormat="1" applyFont="1" applyFill="1" applyBorder="1" applyAlignment="1" applyProtection="1">
      <alignment horizontal="center" vertical="center"/>
    </xf>
    <xf numFmtId="3" fontId="7" fillId="3" borderId="112" xfId="0" applyNumberFormat="1" applyFont="1" applyFill="1" applyBorder="1" applyAlignment="1" applyProtection="1">
      <alignment horizontal="center" vertical="center"/>
    </xf>
    <xf numFmtId="3" fontId="7" fillId="3" borderId="53" xfId="0" applyNumberFormat="1" applyFont="1" applyFill="1" applyBorder="1" applyAlignment="1" applyProtection="1">
      <alignment horizontal="center" vertical="center"/>
    </xf>
    <xf numFmtId="3" fontId="7" fillId="3" borderId="151" xfId="0" applyNumberFormat="1" applyFont="1" applyFill="1" applyBorder="1" applyAlignment="1" applyProtection="1">
      <alignment horizontal="center" vertical="center"/>
    </xf>
    <xf numFmtId="3" fontId="7" fillId="3" borderId="176" xfId="0" applyNumberFormat="1" applyFont="1" applyFill="1" applyBorder="1" applyAlignment="1" applyProtection="1">
      <alignment horizontal="center" vertical="center"/>
    </xf>
    <xf numFmtId="3" fontId="7" fillId="3" borderId="175" xfId="0" applyNumberFormat="1" applyFont="1" applyFill="1" applyBorder="1" applyAlignment="1" applyProtection="1">
      <alignment horizontal="center" vertical="center"/>
    </xf>
    <xf numFmtId="3" fontId="7" fillId="3" borderId="140" xfId="0" applyNumberFormat="1" applyFont="1" applyFill="1" applyBorder="1" applyAlignment="1" applyProtection="1">
      <alignment horizontal="center" vertical="center"/>
    </xf>
    <xf numFmtId="3" fontId="7" fillId="3" borderId="164" xfId="0" applyNumberFormat="1" applyFont="1" applyFill="1" applyBorder="1" applyAlignment="1" applyProtection="1">
      <alignment horizontal="center" vertical="center"/>
    </xf>
    <xf numFmtId="3" fontId="7" fillId="3" borderId="165" xfId="0" applyNumberFormat="1" applyFont="1" applyFill="1" applyBorder="1" applyAlignment="1" applyProtection="1">
      <alignment horizontal="center" vertical="center"/>
    </xf>
    <xf numFmtId="0" fontId="0" fillId="0" borderId="0" xfId="0" applyAlignment="1" applyProtection="1">
      <alignment horizontal="center"/>
    </xf>
    <xf numFmtId="9" fontId="7" fillId="0" borderId="0" xfId="0" applyNumberFormat="1" applyFont="1" applyBorder="1" applyAlignment="1" applyProtection="1">
      <alignment horizontal="center" vertical="center"/>
    </xf>
    <xf numFmtId="0" fontId="1" fillId="0" borderId="0" xfId="0" applyFont="1" applyAlignment="1" applyProtection="1">
      <alignment horizontal="center"/>
    </xf>
    <xf numFmtId="0" fontId="6" fillId="0" borderId="0" xfId="0" applyFont="1" applyAlignment="1" applyProtection="1"/>
    <xf numFmtId="3" fontId="7" fillId="7" borderId="1" xfId="0" applyNumberFormat="1" applyFont="1" applyFill="1" applyBorder="1" applyAlignment="1" applyProtection="1">
      <alignment horizontal="center" vertical="center" wrapText="1"/>
    </xf>
    <xf numFmtId="3" fontId="10" fillId="0" borderId="177" xfId="0" applyNumberFormat="1" applyFont="1" applyBorder="1" applyAlignment="1" applyProtection="1">
      <alignment horizontal="center" vertical="center" wrapText="1"/>
    </xf>
    <xf numFmtId="3" fontId="0" fillId="0" borderId="178" xfId="0" applyNumberFormat="1" applyFont="1" applyBorder="1" applyAlignment="1" applyProtection="1">
      <alignment horizontal="center" vertical="center"/>
    </xf>
    <xf numFmtId="3" fontId="0" fillId="4" borderId="179" xfId="0" applyNumberFormat="1" applyFont="1" applyFill="1" applyBorder="1" applyAlignment="1" applyProtection="1">
      <alignment horizontal="center" vertical="center"/>
    </xf>
    <xf numFmtId="3" fontId="0" fillId="0" borderId="179" xfId="0" applyNumberFormat="1" applyFont="1" applyBorder="1" applyAlignment="1" applyProtection="1">
      <alignment horizontal="center" vertical="center"/>
    </xf>
    <xf numFmtId="3" fontId="0" fillId="0" borderId="179" xfId="0" applyNumberFormat="1" applyFont="1" applyFill="1" applyBorder="1" applyAlignment="1" applyProtection="1">
      <alignment horizontal="center" vertical="center"/>
    </xf>
    <xf numFmtId="3" fontId="0" fillId="4" borderId="180" xfId="0" applyNumberFormat="1" applyFont="1" applyFill="1" applyBorder="1" applyAlignment="1" applyProtection="1">
      <alignment horizontal="center" vertical="center"/>
    </xf>
    <xf numFmtId="3" fontId="0" fillId="0" borderId="181" xfId="0" applyNumberFormat="1" applyFont="1" applyBorder="1" applyAlignment="1" applyProtection="1">
      <alignment horizontal="center" vertical="center"/>
    </xf>
    <xf numFmtId="3" fontId="0" fillId="0" borderId="182" xfId="0" applyNumberFormat="1" applyFont="1" applyBorder="1" applyAlignment="1" applyProtection="1">
      <alignment horizontal="center" vertical="center"/>
    </xf>
    <xf numFmtId="3" fontId="7" fillId="3" borderId="183" xfId="0" applyNumberFormat="1" applyFont="1" applyFill="1" applyBorder="1" applyAlignment="1" applyProtection="1">
      <alignment horizontal="center" vertical="center"/>
    </xf>
    <xf numFmtId="3" fontId="0" fillId="0" borderId="184" xfId="0" applyNumberFormat="1" applyFont="1" applyBorder="1" applyAlignment="1" applyProtection="1">
      <alignment horizontal="center" vertical="center"/>
    </xf>
    <xf numFmtId="3" fontId="0" fillId="4" borderId="185" xfId="0" applyNumberFormat="1" applyFont="1" applyFill="1" applyBorder="1" applyAlignment="1" applyProtection="1">
      <alignment horizontal="center" vertical="center"/>
    </xf>
    <xf numFmtId="3" fontId="0" fillId="0" borderId="185" xfId="0" applyNumberFormat="1" applyFont="1" applyBorder="1" applyAlignment="1" applyProtection="1">
      <alignment horizontal="center" vertical="center"/>
    </xf>
    <xf numFmtId="3" fontId="0" fillId="0" borderId="185" xfId="0" applyNumberFormat="1" applyFont="1" applyFill="1" applyBorder="1" applyAlignment="1" applyProtection="1">
      <alignment horizontal="center" vertical="center"/>
    </xf>
    <xf numFmtId="3" fontId="0" fillId="4" borderId="186" xfId="0" applyNumberFormat="1" applyFont="1" applyFill="1" applyBorder="1" applyAlignment="1" applyProtection="1">
      <alignment horizontal="center" vertical="center"/>
    </xf>
    <xf numFmtId="3" fontId="0" fillId="0" borderId="187" xfId="0" applyNumberFormat="1" applyFont="1" applyBorder="1" applyAlignment="1" applyProtection="1">
      <alignment horizontal="center" vertical="center"/>
    </xf>
    <xf numFmtId="3" fontId="0" fillId="0" borderId="188" xfId="0" applyNumberFormat="1" applyFont="1" applyBorder="1" applyAlignment="1" applyProtection="1">
      <alignment horizontal="center" vertical="center"/>
    </xf>
    <xf numFmtId="0" fontId="2" fillId="0" borderId="101" xfId="0" applyFont="1" applyBorder="1" applyAlignment="1" applyProtection="1">
      <alignment vertical="center" wrapText="1"/>
    </xf>
    <xf numFmtId="0" fontId="2" fillId="0" borderId="189" xfId="0" applyFont="1" applyBorder="1"/>
    <xf numFmtId="0" fontId="2" fillId="0" borderId="190" xfId="0" applyFont="1" applyBorder="1"/>
    <xf numFmtId="0" fontId="2" fillId="0" borderId="191" xfId="0" applyFont="1" applyBorder="1"/>
    <xf numFmtId="3" fontId="0" fillId="0" borderId="0" xfId="0" applyNumberFormat="1" applyAlignment="1" applyProtection="1">
      <alignment horizontal="center" vertical="center"/>
    </xf>
    <xf numFmtId="3" fontId="1" fillId="0" borderId="0" xfId="0" applyNumberFormat="1" applyFont="1"/>
    <xf numFmtId="0" fontId="0" fillId="0" borderId="192" xfId="0" applyBorder="1" applyAlignment="1">
      <alignment horizontal="center"/>
    </xf>
    <xf numFmtId="0" fontId="0" fillId="0" borderId="193" xfId="0" applyBorder="1" applyAlignment="1">
      <alignment horizontal="center"/>
    </xf>
    <xf numFmtId="0" fontId="0" fillId="0" borderId="194" xfId="0" applyBorder="1" applyAlignment="1">
      <alignment horizontal="center"/>
    </xf>
    <xf numFmtId="3" fontId="7" fillId="3" borderId="195" xfId="0" applyNumberFormat="1" applyFont="1" applyFill="1" applyBorder="1" applyAlignment="1" applyProtection="1">
      <alignment horizontal="center" vertical="center"/>
    </xf>
    <xf numFmtId="0" fontId="2" fillId="0" borderId="119" xfId="0" applyFont="1" applyFill="1" applyBorder="1" applyAlignment="1">
      <alignment horizontal="center" vertical="center"/>
    </xf>
    <xf numFmtId="0" fontId="2" fillId="0" borderId="119" xfId="0" applyFont="1" applyBorder="1" applyAlignment="1">
      <alignment horizontal="center" vertical="center"/>
    </xf>
    <xf numFmtId="0" fontId="2" fillId="0" borderId="121" xfId="0" applyFont="1" applyBorder="1" applyAlignment="1">
      <alignment horizontal="center" vertical="center"/>
    </xf>
    <xf numFmtId="9" fontId="2" fillId="0" borderId="12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96" xfId="0" applyFont="1" applyBorder="1" applyAlignment="1">
      <alignment horizontal="center"/>
    </xf>
    <xf numFmtId="0" fontId="2" fillId="0" borderId="19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0" xfId="0" applyFont="1"/>
    <xf numFmtId="0" fontId="0" fillId="0" borderId="198" xfId="0" applyBorder="1" applyAlignment="1">
      <alignment horizontal="center" vertical="center"/>
    </xf>
    <xf numFmtId="3" fontId="23" fillId="0" borderId="0" xfId="0" applyNumberFormat="1" applyFont="1" applyFill="1" applyBorder="1" applyAlignment="1" applyProtection="1">
      <alignment horizontal="center" vertical="center"/>
    </xf>
    <xf numFmtId="3" fontId="0" fillId="0" borderId="47" xfId="0" applyNumberFormat="1" applyFont="1" applyFill="1" applyBorder="1" applyAlignment="1" applyProtection="1">
      <alignment horizontal="center" vertical="center"/>
    </xf>
    <xf numFmtId="3" fontId="0" fillId="0" borderId="82" xfId="0" applyNumberFormat="1" applyFont="1" applyFill="1" applyBorder="1" applyAlignment="1" applyProtection="1">
      <alignment horizontal="center" vertical="center"/>
    </xf>
    <xf numFmtId="0" fontId="0" fillId="0" borderId="147" xfId="0" applyBorder="1" applyAlignment="1" applyProtection="1">
      <alignment horizontal="center"/>
    </xf>
    <xf numFmtId="164" fontId="10" fillId="0" borderId="0" xfId="0" quotePrefix="1" applyNumberFormat="1" applyFont="1" applyAlignment="1" applyProtection="1">
      <alignment horizontal="center"/>
    </xf>
    <xf numFmtId="0" fontId="22" fillId="0" borderId="0" xfId="0" applyFont="1" applyAlignment="1" applyProtection="1">
      <alignment horizontal="center"/>
    </xf>
    <xf numFmtId="9" fontId="3" fillId="0" borderId="0" xfId="0" applyNumberFormat="1" applyFont="1" applyFill="1" applyAlignment="1" applyProtection="1">
      <alignment horizontal="center" vertical="center"/>
    </xf>
    <xf numFmtId="16" fontId="0" fillId="0" borderId="117" xfId="0" applyNumberFormat="1" applyFont="1" applyFill="1" applyBorder="1" applyAlignment="1" applyProtection="1">
      <alignment horizontal="center" vertical="center"/>
    </xf>
    <xf numFmtId="3" fontId="0" fillId="0" borderId="46" xfId="0" applyNumberFormat="1" applyFont="1" applyFill="1" applyBorder="1" applyAlignment="1" applyProtection="1">
      <alignment horizontal="center" vertical="center"/>
    </xf>
    <xf numFmtId="3" fontId="0" fillId="0" borderId="199" xfId="0" applyNumberFormat="1" applyFont="1" applyFill="1" applyBorder="1" applyAlignment="1" applyProtection="1">
      <alignment horizontal="center" vertical="center"/>
    </xf>
    <xf numFmtId="0" fontId="0" fillId="4" borderId="0" xfId="0" applyFill="1" applyAlignment="1" applyProtection="1">
      <alignment horizontal="center" vertical="center"/>
    </xf>
    <xf numFmtId="3" fontId="0" fillId="0" borderId="48" xfId="0" applyNumberFormat="1" applyFont="1" applyBorder="1" applyAlignment="1" applyProtection="1">
      <alignment horizontal="center" vertical="center"/>
    </xf>
    <xf numFmtId="3" fontId="0" fillId="0" borderId="49" xfId="0" applyNumberFormat="1" applyFont="1" applyBorder="1" applyAlignment="1" applyProtection="1">
      <alignment horizontal="center" vertical="center"/>
    </xf>
    <xf numFmtId="3" fontId="0" fillId="0" borderId="87" xfId="0" applyNumberFormat="1" applyFont="1" applyBorder="1" applyAlignment="1" applyProtection="1">
      <alignment horizontal="center" vertical="center"/>
    </xf>
    <xf numFmtId="3" fontId="0" fillId="0" borderId="200" xfId="0" applyNumberFormat="1" applyFont="1" applyBorder="1" applyAlignment="1" applyProtection="1">
      <alignment horizontal="center" vertical="center"/>
    </xf>
    <xf numFmtId="3" fontId="0" fillId="0" borderId="201" xfId="0" applyNumberFormat="1" applyFont="1" applyBorder="1" applyAlignment="1" applyProtection="1">
      <alignment horizontal="center" vertical="center"/>
    </xf>
    <xf numFmtId="3" fontId="0" fillId="0" borderId="202" xfId="0" applyNumberFormat="1" applyFont="1" applyBorder="1" applyAlignment="1" applyProtection="1">
      <alignment horizontal="center" vertical="center"/>
    </xf>
    <xf numFmtId="0" fontId="3" fillId="0" borderId="0" xfId="0" applyFont="1" applyAlignment="1" applyProtection="1">
      <alignment horizontal="center"/>
    </xf>
    <xf numFmtId="0" fontId="2" fillId="0" borderId="120" xfId="0" applyFont="1" applyBorder="1" applyAlignment="1">
      <alignment horizontal="center"/>
    </xf>
    <xf numFmtId="3" fontId="0" fillId="0" borderId="94" xfId="0" applyNumberFormat="1" applyBorder="1"/>
    <xf numFmtId="0" fontId="0" fillId="0" borderId="100" xfId="0" applyBorder="1" applyAlignment="1">
      <alignment horizontal="center"/>
    </xf>
    <xf numFmtId="0" fontId="0" fillId="0" borderId="203" xfId="0" applyBorder="1" applyAlignment="1">
      <alignment horizontal="center"/>
    </xf>
    <xf numFmtId="0" fontId="0" fillId="0" borderId="204" xfId="0" applyBorder="1" applyAlignment="1">
      <alignment horizontal="center"/>
    </xf>
    <xf numFmtId="0" fontId="0" fillId="0" borderId="205" xfId="0" applyBorder="1" applyAlignment="1">
      <alignment horizontal="center"/>
    </xf>
    <xf numFmtId="0" fontId="0" fillId="0" borderId="2" xfId="0" applyBorder="1" applyAlignment="1">
      <alignment horizontal="center"/>
    </xf>
    <xf numFmtId="3" fontId="0" fillId="0" borderId="2" xfId="0" applyNumberFormat="1" applyBorder="1"/>
    <xf numFmtId="0" fontId="2" fillId="0" borderId="2" xfId="0" applyFont="1" applyBorder="1" applyAlignment="1">
      <alignment horizontal="center"/>
    </xf>
    <xf numFmtId="3" fontId="0" fillId="0" borderId="206" xfId="0" applyNumberFormat="1" applyBorder="1"/>
    <xf numFmtId="3" fontId="0" fillId="0" borderId="52" xfId="0" applyNumberFormat="1" applyBorder="1"/>
    <xf numFmtId="3" fontId="0" fillId="0" borderId="69" xfId="0" applyNumberFormat="1" applyBorder="1"/>
    <xf numFmtId="3" fontId="0" fillId="0" borderId="203" xfId="0" applyNumberFormat="1" applyBorder="1"/>
    <xf numFmtId="3" fontId="0" fillId="0" borderId="204" xfId="0" applyNumberFormat="1" applyBorder="1"/>
    <xf numFmtId="3" fontId="0" fillId="0" borderId="205" xfId="0" applyNumberFormat="1" applyBorder="1"/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/>
    <xf numFmtId="0" fontId="0" fillId="0" borderId="120" xfId="0" applyBorder="1"/>
    <xf numFmtId="3" fontId="0" fillId="0" borderId="120" xfId="0" applyNumberFormat="1" applyBorder="1"/>
    <xf numFmtId="0" fontId="2" fillId="0" borderId="4" xfId="0" applyFont="1" applyFill="1" applyBorder="1" applyAlignment="1">
      <alignment horizontal="center" wrapText="1"/>
    </xf>
    <xf numFmtId="0" fontId="2" fillId="0" borderId="120" xfId="0" applyFont="1" applyBorder="1" applyAlignment="1">
      <alignment horizontal="center" wrapText="1"/>
    </xf>
    <xf numFmtId="9" fontId="0" fillId="0" borderId="4" xfId="0" applyNumberFormat="1" applyBorder="1"/>
    <xf numFmtId="0" fontId="2" fillId="0" borderId="2" xfId="0" applyFont="1" applyBorder="1" applyAlignment="1">
      <alignment horizontal="center" wrapText="1"/>
    </xf>
    <xf numFmtId="3" fontId="0" fillId="0" borderId="147" xfId="0" applyNumberFormat="1" applyFont="1" applyFill="1" applyBorder="1" applyAlignment="1" applyProtection="1">
      <alignment horizontal="center" vertical="center"/>
    </xf>
    <xf numFmtId="16" fontId="0" fillId="0" borderId="207" xfId="0" applyNumberFormat="1" applyFont="1" applyBorder="1" applyAlignment="1" applyProtection="1">
      <alignment horizontal="center" vertical="center"/>
      <protection locked="0"/>
    </xf>
    <xf numFmtId="3" fontId="7" fillId="3" borderId="208" xfId="0" applyNumberFormat="1" applyFont="1" applyFill="1" applyBorder="1" applyAlignment="1">
      <alignment horizontal="center" vertical="center"/>
    </xf>
    <xf numFmtId="3" fontId="0" fillId="0" borderId="209" xfId="0" applyNumberFormat="1" applyFont="1" applyBorder="1" applyAlignment="1">
      <alignment horizontal="center" vertical="center"/>
    </xf>
    <xf numFmtId="3" fontId="0" fillId="0" borderId="98" xfId="0" applyNumberFormat="1" applyFont="1" applyBorder="1" applyAlignment="1">
      <alignment horizontal="center" vertical="center"/>
    </xf>
    <xf numFmtId="3" fontId="0" fillId="0" borderId="210" xfId="0" applyNumberFormat="1" applyFont="1" applyBorder="1" applyAlignment="1">
      <alignment horizontal="center" vertical="center"/>
    </xf>
    <xf numFmtId="3" fontId="1" fillId="0" borderId="0" xfId="0" applyNumberFormat="1" applyFont="1" applyProtection="1"/>
    <xf numFmtId="16" fontId="0" fillId="4" borderId="117" xfId="0" applyNumberFormat="1" applyFont="1" applyFill="1" applyBorder="1" applyAlignment="1" applyProtection="1">
      <alignment horizontal="center" vertical="center"/>
    </xf>
    <xf numFmtId="3" fontId="7" fillId="3" borderId="211" xfId="0" applyNumberFormat="1" applyFont="1" applyFill="1" applyBorder="1" applyAlignment="1" applyProtection="1">
      <alignment horizontal="center" vertical="center"/>
    </xf>
    <xf numFmtId="164" fontId="10" fillId="0" borderId="0" xfId="0" quotePrefix="1" applyNumberFormat="1" applyFont="1" applyAlignment="1" applyProtection="1">
      <alignment horizontal="center"/>
    </xf>
    <xf numFmtId="3" fontId="6" fillId="0" borderId="0" xfId="0" applyNumberFormat="1" applyFont="1" applyAlignment="1" applyProtection="1">
      <alignment horizontal="right" vertical="center"/>
    </xf>
    <xf numFmtId="3" fontId="6" fillId="0" borderId="61" xfId="0" applyNumberFormat="1" applyFont="1" applyBorder="1" applyAlignment="1" applyProtection="1">
      <alignment horizontal="right" vertical="center"/>
    </xf>
    <xf numFmtId="0" fontId="10" fillId="0" borderId="0" xfId="0" applyFont="1" applyAlignment="1" applyProtection="1">
      <alignment horizontal="center"/>
    </xf>
    <xf numFmtId="164" fontId="10" fillId="0" borderId="0" xfId="0" quotePrefix="1" applyNumberFormat="1" applyFont="1" applyAlignment="1" applyProtection="1">
      <alignment horizontal="center"/>
    </xf>
    <xf numFmtId="0" fontId="22" fillId="0" borderId="0" xfId="0" applyFont="1" applyAlignment="1" applyProtection="1">
      <alignment horizontal="center"/>
    </xf>
    <xf numFmtId="0" fontId="7" fillId="0" borderId="0" xfId="0" applyFont="1" applyAlignment="1" applyProtection="1">
      <alignment horizontal="right" vertical="center"/>
    </xf>
    <xf numFmtId="0" fontId="7" fillId="0" borderId="61" xfId="0" applyFont="1" applyBorder="1" applyAlignment="1" applyProtection="1">
      <alignment horizontal="right" vertical="center"/>
    </xf>
    <xf numFmtId="0" fontId="6" fillId="0" borderId="0" xfId="0" applyFont="1" applyAlignment="1" applyProtection="1">
      <alignment horizontal="right"/>
    </xf>
    <xf numFmtId="0" fontId="7" fillId="0" borderId="0" xfId="0" applyFont="1" applyAlignment="1" applyProtection="1">
      <alignment horizontal="right" vertical="center" wrapText="1"/>
    </xf>
    <xf numFmtId="0" fontId="7" fillId="0" borderId="61" xfId="0" applyFont="1" applyBorder="1" applyAlignment="1" applyProtection="1">
      <alignment horizontal="right" vertical="center" wrapText="1"/>
    </xf>
    <xf numFmtId="0" fontId="22" fillId="0" borderId="0" xfId="0" applyFont="1" applyAlignment="1" applyProtection="1">
      <alignment horizontal="center"/>
      <protection locked="0"/>
    </xf>
    <xf numFmtId="164" fontId="12" fillId="0" borderId="0" xfId="0" quotePrefix="1" applyNumberFormat="1" applyFont="1" applyAlignment="1" applyProtection="1">
      <alignment horizontal="center"/>
      <protection locked="0"/>
    </xf>
    <xf numFmtId="3" fontId="4" fillId="7" borderId="26" xfId="0" applyNumberFormat="1" applyFont="1" applyFill="1" applyBorder="1" applyAlignment="1" applyProtection="1">
      <alignment horizontal="center" vertical="center"/>
      <protection locked="0"/>
    </xf>
    <xf numFmtId="3" fontId="4" fillId="7" borderId="36" xfId="0" applyNumberFormat="1" applyFont="1" applyFill="1" applyBorder="1" applyAlignment="1" applyProtection="1">
      <alignment horizontal="center" vertical="center"/>
      <protection locked="0"/>
    </xf>
    <xf numFmtId="3" fontId="4" fillId="7" borderId="150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/>
      <protection locked="0"/>
    </xf>
    <xf numFmtId="164" fontId="4" fillId="0" borderId="0" xfId="0" quotePrefix="1" applyNumberFormat="1" applyFont="1" applyAlignment="1" applyProtection="1">
      <alignment horizontal="center"/>
      <protection locked="0"/>
    </xf>
    <xf numFmtId="0" fontId="9" fillId="2" borderId="6" xfId="0" applyFont="1" applyFill="1" applyBorder="1" applyAlignment="1" applyProtection="1">
      <alignment horizontal="center" vertical="center"/>
      <protection locked="0"/>
    </xf>
    <xf numFmtId="0" fontId="11" fillId="0" borderId="26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164" fontId="12" fillId="0" borderId="0" xfId="0" quotePrefix="1" applyNumberFormat="1" applyFont="1" applyAlignment="1" applyProtection="1">
      <alignment horizontal="center" wrapText="1"/>
    </xf>
    <xf numFmtId="3" fontId="4" fillId="7" borderId="26" xfId="0" applyNumberFormat="1" applyFont="1" applyFill="1" applyBorder="1" applyAlignment="1" applyProtection="1">
      <alignment horizontal="center" vertical="center"/>
    </xf>
    <xf numFmtId="3" fontId="4" fillId="7" borderId="36" xfId="0" applyNumberFormat="1" applyFont="1" applyFill="1" applyBorder="1" applyAlignment="1" applyProtection="1">
      <alignment horizontal="center" vertical="center"/>
    </xf>
    <xf numFmtId="3" fontId="4" fillId="7" borderId="95" xfId="0" applyNumberFormat="1" applyFont="1" applyFill="1" applyBorder="1" applyAlignment="1" applyProtection="1">
      <alignment horizontal="center" vertical="center"/>
    </xf>
    <xf numFmtId="0" fontId="22" fillId="0" borderId="0" xfId="0" applyFont="1" applyAlignment="1" applyProtection="1">
      <alignment horizontal="center" wrapText="1"/>
    </xf>
    <xf numFmtId="164" fontId="12" fillId="0" borderId="0" xfId="0" quotePrefix="1" applyNumberFormat="1" applyFont="1" applyAlignment="1" applyProtection="1">
      <alignment horizontal="center"/>
    </xf>
    <xf numFmtId="0" fontId="2" fillId="0" borderId="0" xfId="0" applyFont="1" applyBorder="1" applyAlignment="1">
      <alignment horizontal="center" vertical="center" wrapText="1"/>
    </xf>
    <xf numFmtId="0" fontId="22" fillId="0" borderId="66" xfId="0" applyFont="1" applyBorder="1" applyAlignment="1">
      <alignment horizontal="center" wrapText="1"/>
    </xf>
    <xf numFmtId="0" fontId="22" fillId="0" borderId="0" xfId="0" applyFont="1" applyBorder="1" applyAlignment="1">
      <alignment horizontal="center" wrapText="1"/>
    </xf>
    <xf numFmtId="0" fontId="22" fillId="0" borderId="120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11" fillId="0" borderId="95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8" fillId="3" borderId="94" xfId="0" applyFont="1" applyFill="1" applyBorder="1" applyAlignment="1">
      <alignment horizontal="center" vertical="center"/>
    </xf>
    <xf numFmtId="0" fontId="8" fillId="3" borderId="36" xfId="0" applyFont="1" applyFill="1" applyBorder="1" applyAlignment="1">
      <alignment horizontal="center" vertical="center"/>
    </xf>
    <xf numFmtId="0" fontId="8" fillId="3" borderId="95" xfId="0" applyFont="1" applyFill="1" applyBorder="1" applyAlignment="1">
      <alignment horizontal="center" vertical="center"/>
    </xf>
    <xf numFmtId="0" fontId="11" fillId="0" borderId="101" xfId="0" applyFont="1" applyBorder="1" applyAlignment="1">
      <alignment horizontal="center" vertical="center"/>
    </xf>
    <xf numFmtId="3" fontId="8" fillId="0" borderId="0" xfId="0" applyNumberFormat="1" applyFont="1" applyBorder="1" applyAlignment="1">
      <alignment horizontal="center" vertical="center" wrapText="1"/>
    </xf>
    <xf numFmtId="3" fontId="4" fillId="0" borderId="0" xfId="0" applyNumberFormat="1" applyFont="1" applyBorder="1" applyAlignment="1">
      <alignment horizontal="center" vertical="center"/>
    </xf>
    <xf numFmtId="3" fontId="2" fillId="4" borderId="94" xfId="0" applyNumberFormat="1" applyFont="1" applyFill="1" applyBorder="1" applyAlignment="1">
      <alignment horizontal="center" vertical="center" wrapText="1"/>
    </xf>
    <xf numFmtId="3" fontId="2" fillId="4" borderId="36" xfId="0" applyNumberFormat="1" applyFont="1" applyFill="1" applyBorder="1" applyAlignment="1">
      <alignment horizontal="center" vertical="center" wrapText="1"/>
    </xf>
    <xf numFmtId="3" fontId="2" fillId="4" borderId="95" xfId="0" applyNumberFormat="1" applyFont="1" applyFill="1" applyBorder="1" applyAlignment="1">
      <alignment horizontal="center" vertical="center" wrapText="1"/>
    </xf>
    <xf numFmtId="3" fontId="2" fillId="8" borderId="94" xfId="0" applyNumberFormat="1" applyFont="1" applyFill="1" applyBorder="1" applyAlignment="1">
      <alignment horizontal="center" vertical="center" wrapText="1"/>
    </xf>
    <xf numFmtId="3" fontId="2" fillId="8" borderId="36" xfId="0" applyNumberFormat="1" applyFont="1" applyFill="1" applyBorder="1" applyAlignment="1">
      <alignment horizontal="center" vertical="center" wrapText="1"/>
    </xf>
    <xf numFmtId="3" fontId="2" fillId="8" borderId="95" xfId="0" applyNumberFormat="1" applyFont="1" applyFill="1" applyBorder="1" applyAlignment="1">
      <alignment horizontal="center" vertical="center" wrapText="1"/>
    </xf>
    <xf numFmtId="3" fontId="2" fillId="3" borderId="94" xfId="0" applyNumberFormat="1" applyFont="1" applyFill="1" applyBorder="1" applyAlignment="1">
      <alignment horizontal="center" vertical="center" wrapText="1"/>
    </xf>
    <xf numFmtId="3" fontId="2" fillId="3" borderId="36" xfId="0" applyNumberFormat="1" applyFont="1" applyFill="1" applyBorder="1" applyAlignment="1">
      <alignment horizontal="center" vertical="center" wrapText="1"/>
    </xf>
    <xf numFmtId="3" fontId="2" fillId="3" borderId="95" xfId="0" applyNumberFormat="1" applyFont="1" applyFill="1" applyBorder="1" applyAlignment="1">
      <alignment horizontal="center" vertical="center" wrapText="1"/>
    </xf>
    <xf numFmtId="0" fontId="8" fillId="0" borderId="0" xfId="0" applyFont="1" applyAlignment="1" applyProtection="1">
      <alignment horizontal="center" vertical="center" wrapText="1"/>
      <protection locked="0"/>
    </xf>
    <xf numFmtId="3" fontId="7" fillId="0" borderId="3" xfId="0" applyNumberFormat="1" applyFont="1" applyBorder="1" applyAlignment="1">
      <alignment horizontal="center" wrapText="1"/>
    </xf>
    <xf numFmtId="3" fontId="11" fillId="0" borderId="0" xfId="0" applyNumberFormat="1" applyFont="1" applyAlignment="1">
      <alignment horizontal="center"/>
    </xf>
    <xf numFmtId="3" fontId="7" fillId="0" borderId="0" xfId="0" applyNumberFormat="1" applyFont="1" applyFill="1" applyBorder="1" applyAlignment="1">
      <alignment horizontal="center" wrapText="1"/>
    </xf>
    <xf numFmtId="0" fontId="2" fillId="4" borderId="94" xfId="0" applyFont="1" applyFill="1" applyBorder="1" applyAlignment="1">
      <alignment horizontal="center" vertical="center" wrapText="1"/>
    </xf>
    <xf numFmtId="0" fontId="2" fillId="4" borderId="95" xfId="0" applyFont="1" applyFill="1" applyBorder="1" applyAlignment="1">
      <alignment horizontal="center" vertical="center" wrapText="1"/>
    </xf>
    <xf numFmtId="0" fontId="2" fillId="3" borderId="94" xfId="0" applyFont="1" applyFill="1" applyBorder="1" applyAlignment="1">
      <alignment horizontal="center" vertical="center" wrapText="1"/>
    </xf>
    <xf numFmtId="0" fontId="2" fillId="3" borderId="95" xfId="0" applyFont="1" applyFill="1" applyBorder="1" applyAlignment="1">
      <alignment horizontal="center" vertical="center" wrapText="1"/>
    </xf>
    <xf numFmtId="0" fontId="2" fillId="8" borderId="94" xfId="0" applyFont="1" applyFill="1" applyBorder="1" applyAlignment="1">
      <alignment horizontal="center" wrapText="1"/>
    </xf>
    <xf numFmtId="0" fontId="2" fillId="8" borderId="95" xfId="0" applyFont="1" applyFill="1" applyBorder="1" applyAlignment="1">
      <alignment horizontal="center" wrapText="1"/>
    </xf>
    <xf numFmtId="0" fontId="2" fillId="3" borderId="96" xfId="0" applyFont="1" applyFill="1" applyBorder="1" applyAlignment="1">
      <alignment horizontal="center" wrapText="1"/>
    </xf>
    <xf numFmtId="0" fontId="2" fillId="3" borderId="97" xfId="0" applyFont="1" applyFill="1" applyBorder="1" applyAlignment="1">
      <alignment horizontal="center" wrapText="1"/>
    </xf>
    <xf numFmtId="0" fontId="2" fillId="8" borderId="96" xfId="0" applyFont="1" applyFill="1" applyBorder="1" applyAlignment="1">
      <alignment horizontal="center" vertical="center" wrapText="1"/>
    </xf>
    <xf numFmtId="0" fontId="2" fillId="8" borderId="97" xfId="0" applyFont="1" applyFill="1" applyBorder="1" applyAlignment="1">
      <alignment horizontal="center" vertical="center" wrapText="1"/>
    </xf>
    <xf numFmtId="0" fontId="25" fillId="0" borderId="214" xfId="0" applyFont="1" applyBorder="1" applyAlignment="1">
      <alignment horizontal="center"/>
    </xf>
    <xf numFmtId="0" fontId="25" fillId="0" borderId="215" xfId="0" applyFont="1" applyBorder="1" applyAlignment="1">
      <alignment horizontal="center"/>
    </xf>
    <xf numFmtId="0" fontId="25" fillId="0" borderId="216" xfId="0" applyFont="1" applyBorder="1" applyAlignment="1">
      <alignment horizontal="center"/>
    </xf>
    <xf numFmtId="0" fontId="25" fillId="0" borderId="217" xfId="0" applyFont="1" applyBorder="1" applyAlignment="1">
      <alignment horizontal="center"/>
    </xf>
    <xf numFmtId="0" fontId="25" fillId="0" borderId="212" xfId="0" applyFont="1" applyBorder="1" applyAlignment="1">
      <alignment horizontal="center"/>
    </xf>
    <xf numFmtId="0" fontId="25" fillId="0" borderId="2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009900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Return + Early Voting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'Compare Early &amp; Returned'!$C$3</c:f>
              <c:strCache>
                <c:ptCount val="1"/>
                <c:pt idx="0">
                  <c:v>2017 RunningTotal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'Compare Early &amp; Returned'!$C$4:$C$52</c:f>
              <c:numCache>
                <c:formatCode>#,##0</c:formatCode>
                <c:ptCount val="49"/>
                <c:pt idx="0">
                  <c:v>8</c:v>
                </c:pt>
                <c:pt idx="1">
                  <c:v>13</c:v>
                </c:pt>
                <c:pt idx="2">
                  <c:v>13</c:v>
                </c:pt>
                <c:pt idx="3">
                  <c:v>23</c:v>
                </c:pt>
                <c:pt idx="4">
                  <c:v>31</c:v>
                </c:pt>
                <c:pt idx="5">
                  <c:v>52</c:v>
                </c:pt>
                <c:pt idx="6">
                  <c:v>64</c:v>
                </c:pt>
                <c:pt idx="7">
                  <c:v>86</c:v>
                </c:pt>
                <c:pt idx="8">
                  <c:v>86</c:v>
                </c:pt>
                <c:pt idx="9">
                  <c:v>86</c:v>
                </c:pt>
                <c:pt idx="10">
                  <c:v>123</c:v>
                </c:pt>
                <c:pt idx="11">
                  <c:v>180</c:v>
                </c:pt>
                <c:pt idx="12">
                  <c:v>236</c:v>
                </c:pt>
                <c:pt idx="13">
                  <c:v>263</c:v>
                </c:pt>
                <c:pt idx="14">
                  <c:v>276</c:v>
                </c:pt>
                <c:pt idx="15">
                  <c:v>276</c:v>
                </c:pt>
                <c:pt idx="16">
                  <c:v>276</c:v>
                </c:pt>
                <c:pt idx="17">
                  <c:v>381</c:v>
                </c:pt>
                <c:pt idx="18">
                  <c:v>411</c:v>
                </c:pt>
                <c:pt idx="19">
                  <c:v>455</c:v>
                </c:pt>
                <c:pt idx="20">
                  <c:v>510</c:v>
                </c:pt>
                <c:pt idx="21">
                  <c:v>547</c:v>
                </c:pt>
                <c:pt idx="22">
                  <c:v>547</c:v>
                </c:pt>
                <c:pt idx="23">
                  <c:v>547</c:v>
                </c:pt>
                <c:pt idx="24">
                  <c:v>660</c:v>
                </c:pt>
                <c:pt idx="25">
                  <c:v>701</c:v>
                </c:pt>
                <c:pt idx="26">
                  <c:v>787</c:v>
                </c:pt>
                <c:pt idx="27">
                  <c:v>850</c:v>
                </c:pt>
                <c:pt idx="28">
                  <c:v>902</c:v>
                </c:pt>
                <c:pt idx="29">
                  <c:v>902</c:v>
                </c:pt>
                <c:pt idx="30">
                  <c:v>902</c:v>
                </c:pt>
                <c:pt idx="31">
                  <c:v>902</c:v>
                </c:pt>
                <c:pt idx="32">
                  <c:v>1091</c:v>
                </c:pt>
                <c:pt idx="33">
                  <c:v>1176</c:v>
                </c:pt>
                <c:pt idx="34">
                  <c:v>1348</c:v>
                </c:pt>
                <c:pt idx="35">
                  <c:v>1466</c:v>
                </c:pt>
                <c:pt idx="36">
                  <c:v>1601</c:v>
                </c:pt>
                <c:pt idx="37">
                  <c:v>1601</c:v>
                </c:pt>
                <c:pt idx="38">
                  <c:v>1803</c:v>
                </c:pt>
                <c:pt idx="39">
                  <c:v>2067</c:v>
                </c:pt>
                <c:pt idx="40">
                  <c:v>2318</c:v>
                </c:pt>
                <c:pt idx="41">
                  <c:v>2549</c:v>
                </c:pt>
                <c:pt idx="42">
                  <c:v>2765</c:v>
                </c:pt>
                <c:pt idx="43">
                  <c:v>4575</c:v>
                </c:pt>
                <c:pt idx="44">
                  <c:v>4575</c:v>
                </c:pt>
                <c:pt idx="45">
                  <c:v>4624</c:v>
                </c:pt>
                <c:pt idx="46">
                  <c:v>4871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73-4A30-A281-EC085D4A5ACC}"/>
            </c:ext>
          </c:extLst>
        </c:ser>
        <c:ser>
          <c:idx val="1"/>
          <c:order val="1"/>
          <c:tx>
            <c:strRef>
              <c:f>'Compare Early &amp; Returned'!$G$3</c:f>
              <c:strCache>
                <c:ptCount val="1"/>
                <c:pt idx="0">
                  <c:v>2020 Running Total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'Compare Early &amp; Returned'!$G$7:$G$50</c:f>
              <c:numCache>
                <c:formatCode>#,##0</c:formatCode>
                <c:ptCount val="44"/>
                <c:pt idx="0">
                  <c:v>6</c:v>
                </c:pt>
                <c:pt idx="1">
                  <c:v>6</c:v>
                </c:pt>
                <c:pt idx="2">
                  <c:v>147</c:v>
                </c:pt>
                <c:pt idx="3">
                  <c:v>335</c:v>
                </c:pt>
                <c:pt idx="4">
                  <c:v>494</c:v>
                </c:pt>
                <c:pt idx="5">
                  <c:v>500</c:v>
                </c:pt>
                <c:pt idx="6">
                  <c:v>500</c:v>
                </c:pt>
                <c:pt idx="7">
                  <c:v>1102</c:v>
                </c:pt>
                <c:pt idx="8">
                  <c:v>1172</c:v>
                </c:pt>
                <c:pt idx="9">
                  <c:v>1678</c:v>
                </c:pt>
                <c:pt idx="10">
                  <c:v>2000</c:v>
                </c:pt>
                <c:pt idx="11">
                  <c:v>2308</c:v>
                </c:pt>
                <c:pt idx="12">
                  <c:v>2311</c:v>
                </c:pt>
                <c:pt idx="13">
                  <c:v>2316</c:v>
                </c:pt>
                <c:pt idx="14">
                  <c:v>2317</c:v>
                </c:pt>
                <c:pt idx="15">
                  <c:v>3473</c:v>
                </c:pt>
                <c:pt idx="16">
                  <c:v>3491</c:v>
                </c:pt>
                <c:pt idx="17">
                  <c:v>4626</c:v>
                </c:pt>
                <c:pt idx="18">
                  <c:v>5147</c:v>
                </c:pt>
                <c:pt idx="19">
                  <c:v>5154</c:v>
                </c:pt>
                <c:pt idx="20">
                  <c:v>5155</c:v>
                </c:pt>
                <c:pt idx="21">
                  <c:v>6798</c:v>
                </c:pt>
                <c:pt idx="22">
                  <c:v>6852</c:v>
                </c:pt>
                <c:pt idx="23">
                  <c:v>8047</c:v>
                </c:pt>
                <c:pt idx="24">
                  <c:v>8965</c:v>
                </c:pt>
                <c:pt idx="25">
                  <c:v>9837</c:v>
                </c:pt>
                <c:pt idx="26">
                  <c:v>9846</c:v>
                </c:pt>
                <c:pt idx="27">
                  <c:v>9853</c:v>
                </c:pt>
                <c:pt idx="28">
                  <c:v>12552</c:v>
                </c:pt>
                <c:pt idx="29">
                  <c:v>12631</c:v>
                </c:pt>
                <c:pt idx="30">
                  <c:v>14376</c:v>
                </c:pt>
                <c:pt idx="31">
                  <c:v>15474</c:v>
                </c:pt>
                <c:pt idx="32">
                  <c:v>16611</c:v>
                </c:pt>
                <c:pt idx="33">
                  <c:v>16624</c:v>
                </c:pt>
                <c:pt idx="34">
                  <c:v>16630</c:v>
                </c:pt>
                <c:pt idx="35">
                  <c:v>19503</c:v>
                </c:pt>
                <c:pt idx="36">
                  <c:v>19585</c:v>
                </c:pt>
                <c:pt idx="37">
                  <c:v>21315</c:v>
                </c:pt>
                <c:pt idx="38">
                  <c:v>22470</c:v>
                </c:pt>
                <c:pt idx="39">
                  <c:v>23581</c:v>
                </c:pt>
                <c:pt idx="40">
                  <c:v>24720</c:v>
                </c:pt>
                <c:pt idx="41">
                  <c:v>24741</c:v>
                </c:pt>
                <c:pt idx="42">
                  <c:v>27479</c:v>
                </c:pt>
                <c:pt idx="43">
                  <c:v>29846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73-4A30-A281-EC085D4A5ACC}"/>
            </c:ext>
          </c:extLst>
        </c:ser>
        <c:ser>
          <c:idx val="2"/>
          <c:order val="2"/>
          <c:tx>
            <c:strRef>
              <c:f>'Compare Early &amp; Returned'!$K$3</c:f>
              <c:strCache>
                <c:ptCount val="1"/>
                <c:pt idx="0">
                  <c:v>2020 Running Total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'Compare Early &amp; Returned'!$K$4:$K$53</c:f>
              <c:numCache>
                <c:formatCode>#,##0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73-4A30-A281-EC085D4A5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5100128"/>
        <c:axId val="625103736"/>
      </c:lineChart>
      <c:catAx>
        <c:axId val="6251001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103736"/>
        <c:crosses val="autoZero"/>
        <c:auto val="1"/>
        <c:lblAlgn val="ctr"/>
        <c:lblOffset val="100"/>
        <c:noMultiLvlLbl val="0"/>
      </c:catAx>
      <c:valAx>
        <c:axId val="62510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10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85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% of Absentee Ballots Returned of </a:t>
            </a:r>
          </a:p>
          <a:p>
            <a:pPr>
              <a:defRPr/>
            </a:pPr>
            <a:r>
              <a:rPr lang="en-US" sz="1400" b="0" i="0" baseline="0">
                <a:effectLst/>
              </a:rPr>
              <a:t>Total Mailed as of that Day 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27234550234153987"/>
          <c:y val="1.95031866064461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'Compare Return'!$F$6</c:f>
              <c:strCache>
                <c:ptCount val="1"/>
                <c:pt idx="0">
                  <c:v>2017 - % returned of total mailed as of this day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'Compare Return'!$F$7:$F$53</c:f>
              <c:numCache>
                <c:formatCode>0%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1.7286084701815039E-3</c:v>
                </c:pt>
                <c:pt idx="5">
                  <c:v>3.4144259496372174E-3</c:v>
                </c:pt>
                <c:pt idx="6">
                  <c:v>5.108556832694764E-3</c:v>
                </c:pt>
                <c:pt idx="7">
                  <c:v>9.1666666666666667E-3</c:v>
                </c:pt>
                <c:pt idx="8">
                  <c:v>9.1666666666666667E-3</c:v>
                </c:pt>
                <c:pt idx="9">
                  <c:v>9.1666666666666667E-3</c:v>
                </c:pt>
                <c:pt idx="10">
                  <c:v>1.5833333333333335E-2</c:v>
                </c:pt>
                <c:pt idx="11">
                  <c:v>3.2064128256513023E-2</c:v>
                </c:pt>
                <c:pt idx="12">
                  <c:v>4.8496993987975953E-2</c:v>
                </c:pt>
                <c:pt idx="13">
                  <c:v>5.3704429635437083E-2</c:v>
                </c:pt>
                <c:pt idx="14">
                  <c:v>5.5664445315562527E-2</c:v>
                </c:pt>
                <c:pt idx="15">
                  <c:v>5.5664445315562527E-2</c:v>
                </c:pt>
                <c:pt idx="16">
                  <c:v>5.5664445315562527E-2</c:v>
                </c:pt>
                <c:pt idx="17">
                  <c:v>8.8559483086278978E-2</c:v>
                </c:pt>
                <c:pt idx="18">
                  <c:v>8.9048882152330422E-2</c:v>
                </c:pt>
                <c:pt idx="19">
                  <c:v>9.7551928783382785E-2</c:v>
                </c:pt>
                <c:pt idx="20">
                  <c:v>0.10173787110789283</c:v>
                </c:pt>
                <c:pt idx="21">
                  <c:v>0.10608254887762492</c:v>
                </c:pt>
                <c:pt idx="22">
                  <c:v>0.10608254887762492</c:v>
                </c:pt>
                <c:pt idx="23">
                  <c:v>0.10608254887762492</c:v>
                </c:pt>
                <c:pt idx="24">
                  <c:v>0.12708913649025069</c:v>
                </c:pt>
                <c:pt idx="25">
                  <c:v>0.12629815745393635</c:v>
                </c:pt>
                <c:pt idx="26">
                  <c:v>0.14084507042253522</c:v>
                </c:pt>
                <c:pt idx="27">
                  <c:v>0.1463963963963964</c:v>
                </c:pt>
                <c:pt idx="28">
                  <c:v>0.14801901743264659</c:v>
                </c:pt>
                <c:pt idx="29">
                  <c:v>0.14801901743264659</c:v>
                </c:pt>
                <c:pt idx="30">
                  <c:v>0.14801901743264659</c:v>
                </c:pt>
                <c:pt idx="31">
                  <c:v>0.14801901743264659</c:v>
                </c:pt>
                <c:pt idx="32">
                  <c:v>0.1828605914302957</c:v>
                </c:pt>
                <c:pt idx="33">
                  <c:v>0.18043350908025776</c:v>
                </c:pt>
                <c:pt idx="34">
                  <c:v>0.20804597701149424</c:v>
                </c:pt>
                <c:pt idx="35">
                  <c:v>0.22159412097230075</c:v>
                </c:pt>
                <c:pt idx="36">
                  <c:v>0.22300734878462408</c:v>
                </c:pt>
                <c:pt idx="37">
                  <c:v>0.22300734878462408</c:v>
                </c:pt>
                <c:pt idx="38">
                  <c:v>0.2396401308615049</c:v>
                </c:pt>
                <c:pt idx="39">
                  <c:v>0.26425269645608629</c:v>
                </c:pt>
                <c:pt idx="40">
                  <c:v>0.27891491985203454</c:v>
                </c:pt>
                <c:pt idx="41">
                  <c:v>0.30505548705302094</c:v>
                </c:pt>
                <c:pt idx="42">
                  <c:v>0.32675709001233044</c:v>
                </c:pt>
                <c:pt idx="43">
                  <c:v>0.3585696670776819</c:v>
                </c:pt>
                <c:pt idx="44">
                  <c:v>0.3585696670776819</c:v>
                </c:pt>
                <c:pt idx="45">
                  <c:v>0.37065351418002468</c:v>
                </c:pt>
                <c:pt idx="46">
                  <c:v>0.43156596794081381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1C-4369-8517-255062AD7109}"/>
            </c:ext>
          </c:extLst>
        </c:ser>
        <c:ser>
          <c:idx val="1"/>
          <c:order val="1"/>
          <c:tx>
            <c:strRef>
              <c:f>'Compare Return'!$M$6</c:f>
              <c:strCache>
                <c:ptCount val="1"/>
                <c:pt idx="0">
                  <c:v>2020 - % returned of total mailed as of this day</c:v>
                </c:pt>
              </c:strCache>
            </c:strRef>
          </c:tx>
          <c:spPr>
            <a:ln w="28575" cap="rnd">
              <a:solidFill>
                <a:srgbClr val="009900"/>
              </a:solidFill>
              <a:round/>
            </a:ln>
            <a:effectLst/>
          </c:spPr>
          <c:marker>
            <c:symbol val="none"/>
          </c:marker>
          <c:val>
            <c:numRef>
              <c:f>'Compare Return'!$M$7:$M$53</c:f>
              <c:numCache>
                <c:formatCode>0%</c:formatCode>
                <c:ptCount val="47"/>
                <c:pt idx="0">
                  <c:v>3.5739814152966406E-4</c:v>
                </c:pt>
                <c:pt idx="1">
                  <c:v>3.261046796021523E-4</c:v>
                </c:pt>
                <c:pt idx="2">
                  <c:v>2.0742674789672177E-2</c:v>
                </c:pt>
                <c:pt idx="3">
                  <c:v>4.3374452845204935E-2</c:v>
                </c:pt>
                <c:pt idx="4">
                  <c:v>5.499259933963338E-2</c:v>
                </c:pt>
                <c:pt idx="5">
                  <c:v>5.499259933963338E-2</c:v>
                </c:pt>
                <c:pt idx="6">
                  <c:v>5.499259933963338E-2</c:v>
                </c:pt>
                <c:pt idx="7">
                  <c:v>0.10894980850634953</c:v>
                </c:pt>
                <c:pt idx="8">
                  <c:v>0.10124021461869998</c:v>
                </c:pt>
                <c:pt idx="9">
                  <c:v>0.14132196162046909</c:v>
                </c:pt>
                <c:pt idx="10">
                  <c:v>0.15488215488215487</c:v>
                </c:pt>
                <c:pt idx="11">
                  <c:v>0.15567516010355634</c:v>
                </c:pt>
                <c:pt idx="12">
                  <c:v>0.15567516010355634</c:v>
                </c:pt>
                <c:pt idx="13">
                  <c:v>0.15567516010355634</c:v>
                </c:pt>
                <c:pt idx="14">
                  <c:v>0.15567516010355634</c:v>
                </c:pt>
                <c:pt idx="15">
                  <c:v>0.20826776419319695</c:v>
                </c:pt>
                <c:pt idx="16">
                  <c:v>0.1914116540313209</c:v>
                </c:pt>
                <c:pt idx="17">
                  <c:v>0.23435188491557415</c:v>
                </c:pt>
                <c:pt idx="18">
                  <c:v>0.2395296542677785</c:v>
                </c:pt>
                <c:pt idx="19">
                  <c:v>0.2395296542677785</c:v>
                </c:pt>
                <c:pt idx="20">
                  <c:v>0.2395296542677785</c:v>
                </c:pt>
                <c:pt idx="21">
                  <c:v>0.29200744298758058</c:v>
                </c:pt>
                <c:pt idx="22">
                  <c:v>0.26225083857038206</c:v>
                </c:pt>
                <c:pt idx="23">
                  <c:v>0.29996249062265568</c:v>
                </c:pt>
                <c:pt idx="24">
                  <c:v>0.31402396053558845</c:v>
                </c:pt>
                <c:pt idx="25">
                  <c:v>0.32850566215262611</c:v>
                </c:pt>
                <c:pt idx="26">
                  <c:v>0.32850566215262611</c:v>
                </c:pt>
                <c:pt idx="27">
                  <c:v>0.32850566215262611</c:v>
                </c:pt>
                <c:pt idx="28">
                  <c:v>0.40142953733217424</c:v>
                </c:pt>
                <c:pt idx="29">
                  <c:v>0.39051946839304058</c:v>
                </c:pt>
                <c:pt idx="30">
                  <c:v>0.43586459286367796</c:v>
                </c:pt>
                <c:pt idx="31">
                  <c:v>0.45439234110451199</c:v>
                </c:pt>
                <c:pt idx="32">
                  <c:v>0.47325728044026599</c:v>
                </c:pt>
                <c:pt idx="33">
                  <c:v>0.47325728044026599</c:v>
                </c:pt>
                <c:pt idx="34">
                  <c:v>0.47325728044026599</c:v>
                </c:pt>
                <c:pt idx="35">
                  <c:v>0.54406722500140525</c:v>
                </c:pt>
                <c:pt idx="36">
                  <c:v>0.51182450226482668</c:v>
                </c:pt>
                <c:pt idx="37">
                  <c:v>0.54537724180581326</c:v>
                </c:pt>
                <c:pt idx="38">
                  <c:v>0.57461994331357902</c:v>
                </c:pt>
                <c:pt idx="39">
                  <c:v>0.60244782272610153</c:v>
                </c:pt>
                <c:pt idx="40">
                  <c:v>0.63110023189899511</c:v>
                </c:pt>
                <c:pt idx="41">
                  <c:v>0.63110023189899511</c:v>
                </c:pt>
                <c:pt idx="42">
                  <c:v>0.70087606287039428</c:v>
                </c:pt>
                <c:pt idx="43">
                  <c:v>0.76091213604741048</c:v>
                </c:pt>
                <c:pt idx="44">
                  <c:v>0.76091213604741048</c:v>
                </c:pt>
                <c:pt idx="45">
                  <c:v>0.76091213604741048</c:v>
                </c:pt>
                <c:pt idx="46">
                  <c:v>0.76091213604741048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1C-4369-8517-255062AD7109}"/>
            </c:ext>
          </c:extLst>
        </c:ser>
        <c:ser>
          <c:idx val="2"/>
          <c:order val="2"/>
          <c:tx>
            <c:strRef>
              <c:f>'Compare Return'!$U$6</c:f>
              <c:strCache>
                <c:ptCount val="1"/>
                <c:pt idx="0">
                  <c:v>2021 - % returned of total mailed as of this day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'Compare Return'!$U$7:$U$53</c:f>
              <c:numCache>
                <c:formatCode>0%</c:formatCode>
                <c:ptCount val="47"/>
                <c:pt idx="0">
                  <c:v>3.5871222311900278E-4</c:v>
                </c:pt>
                <c:pt idx="1">
                  <c:v>2.328869666472594E-3</c:v>
                </c:pt>
                <c:pt idx="2">
                  <c:v>3.5495321071313327E-3</c:v>
                </c:pt>
                <c:pt idx="3">
                  <c:v>7.0277953253316483E-2</c:v>
                </c:pt>
                <c:pt idx="4">
                  <c:v>9.0439077089281575E-2</c:v>
                </c:pt>
                <c:pt idx="5">
                  <c:v>9.0439077089281575E-2</c:v>
                </c:pt>
                <c:pt idx="6">
                  <c:v>9.0439077089281575E-2</c:v>
                </c:pt>
                <c:pt idx="7">
                  <c:v>0.13752560115300008</c:v>
                </c:pt>
                <c:pt idx="8">
                  <c:v>0.13587718650822939</c:v>
                </c:pt>
                <c:pt idx="9">
                  <c:v>0.13396852894470912</c:v>
                </c:pt>
                <c:pt idx="10">
                  <c:v>0.18064193294731576</c:v>
                </c:pt>
                <c:pt idx="11">
                  <c:v>0.19479048697621745</c:v>
                </c:pt>
                <c:pt idx="12">
                  <c:v>0.19479048697621745</c:v>
                </c:pt>
                <c:pt idx="13">
                  <c:v>0.19479048697621745</c:v>
                </c:pt>
                <c:pt idx="14">
                  <c:v>0.20608343797962886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1C-4369-8517-255062AD7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9794776"/>
        <c:axId val="429795104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'Compare Return'!$AB$6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'Compare Return'!$AB$8:$AB$51</c15:sqref>
                        </c15:formulaRef>
                      </c:ext>
                    </c:extLst>
                    <c:numCache>
                      <c:formatCode>0%</c:formatCode>
                      <c:ptCount val="44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E952-4F77-A4A0-3B652D9C2231}"/>
                  </c:ext>
                </c:extLst>
              </c15:ser>
            </c15:filteredLineSeries>
          </c:ext>
        </c:extLst>
      </c:lineChart>
      <c:catAx>
        <c:axId val="429794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795104"/>
        <c:crosses val="autoZero"/>
        <c:auto val="1"/>
        <c:lblAlgn val="ctr"/>
        <c:lblOffset val="100"/>
        <c:noMultiLvlLbl val="0"/>
      </c:catAx>
      <c:valAx>
        <c:axId val="42979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794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of Absent Ballot Returned of Total Returned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'Compare Return'!$G$6</c:f>
              <c:strCache>
                <c:ptCount val="1"/>
                <c:pt idx="0">
                  <c:v>2017 - % returned of total returned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'Compare Return'!$G$7:$G$53</c:f>
              <c:numCache>
                <c:formatCode>0%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2.9593094944512948E-3</c:v>
                </c:pt>
                <c:pt idx="7">
                  <c:v>1.2571428571428572E-2</c:v>
                </c:pt>
                <c:pt idx="8">
                  <c:v>1.2571428571428572E-2</c:v>
                </c:pt>
                <c:pt idx="9">
                  <c:v>1.2571428571428572E-2</c:v>
                </c:pt>
                <c:pt idx="10">
                  <c:v>2.1714285714285714E-2</c:v>
                </c:pt>
                <c:pt idx="11">
                  <c:v>4.5714285714285714E-2</c:v>
                </c:pt>
                <c:pt idx="12">
                  <c:v>6.9142857142857145E-2</c:v>
                </c:pt>
                <c:pt idx="13">
                  <c:v>7.8285714285714292E-2</c:v>
                </c:pt>
                <c:pt idx="14">
                  <c:v>8.1142857142857142E-2</c:v>
                </c:pt>
                <c:pt idx="15">
                  <c:v>8.1142857142857142E-2</c:v>
                </c:pt>
                <c:pt idx="16">
                  <c:v>8.1142857142857142E-2</c:v>
                </c:pt>
                <c:pt idx="17">
                  <c:v>0.13314285714285715</c:v>
                </c:pt>
                <c:pt idx="18">
                  <c:v>0.13428571428571429</c:v>
                </c:pt>
                <c:pt idx="19">
                  <c:v>0.15028571428571427</c:v>
                </c:pt>
                <c:pt idx="20">
                  <c:v>0.16057142857142856</c:v>
                </c:pt>
                <c:pt idx="21">
                  <c:v>0.16742857142857143</c:v>
                </c:pt>
                <c:pt idx="22">
                  <c:v>0.16742857142857143</c:v>
                </c:pt>
                <c:pt idx="23">
                  <c:v>0.16742857142857143</c:v>
                </c:pt>
                <c:pt idx="24">
                  <c:v>0.20857142857142857</c:v>
                </c:pt>
                <c:pt idx="25">
                  <c:v>0.21542857142857144</c:v>
                </c:pt>
                <c:pt idx="26">
                  <c:v>0.24571428571428572</c:v>
                </c:pt>
                <c:pt idx="27">
                  <c:v>0.26</c:v>
                </c:pt>
                <c:pt idx="28">
                  <c:v>0.26685714285714285</c:v>
                </c:pt>
                <c:pt idx="29">
                  <c:v>0.26685714285714285</c:v>
                </c:pt>
                <c:pt idx="30">
                  <c:v>0.26685714285714285</c:v>
                </c:pt>
                <c:pt idx="31">
                  <c:v>0.26685714285714285</c:v>
                </c:pt>
                <c:pt idx="32">
                  <c:v>0.34628571428571431</c:v>
                </c:pt>
                <c:pt idx="33">
                  <c:v>0.35199999999999998</c:v>
                </c:pt>
                <c:pt idx="34">
                  <c:v>0.4137142857142857</c:v>
                </c:pt>
                <c:pt idx="35">
                  <c:v>0.44800000000000001</c:v>
                </c:pt>
                <c:pt idx="36">
                  <c:v>0.45085714285714285</c:v>
                </c:pt>
                <c:pt idx="37">
                  <c:v>0.45085714285714285</c:v>
                </c:pt>
                <c:pt idx="38">
                  <c:v>0.50228571428571434</c:v>
                </c:pt>
                <c:pt idx="39">
                  <c:v>0.58799999999999997</c:v>
                </c:pt>
                <c:pt idx="40">
                  <c:v>0.64628571428571424</c:v>
                </c:pt>
                <c:pt idx="41">
                  <c:v>0.70685714285714285</c:v>
                </c:pt>
                <c:pt idx="42">
                  <c:v>0.75714285714285712</c:v>
                </c:pt>
                <c:pt idx="43">
                  <c:v>0.83085714285714285</c:v>
                </c:pt>
                <c:pt idx="44">
                  <c:v>0.83085714285714285</c:v>
                </c:pt>
                <c:pt idx="45">
                  <c:v>0.85885714285714287</c:v>
                </c:pt>
                <c:pt idx="4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6A-411C-8AF6-6DB225138208}"/>
            </c:ext>
          </c:extLst>
        </c:ser>
        <c:ser>
          <c:idx val="1"/>
          <c:order val="1"/>
          <c:tx>
            <c:strRef>
              <c:f>'Compare Return'!$N$6</c:f>
              <c:strCache>
                <c:ptCount val="1"/>
                <c:pt idx="0">
                  <c:v>2020 - % returned of total returned</c:v>
                </c:pt>
              </c:strCache>
            </c:strRef>
          </c:tx>
          <c:spPr>
            <a:ln w="28575" cap="rnd">
              <a:solidFill>
                <a:srgbClr val="009900"/>
              </a:solidFill>
              <a:round/>
            </a:ln>
            <a:effectLst/>
          </c:spPr>
          <c:marker>
            <c:symbol val="none"/>
          </c:marker>
          <c:val>
            <c:numRef>
              <c:f>'Compare Return'!$N$7:$N$53</c:f>
              <c:numCache>
                <c:formatCode>0%</c:formatCode>
                <c:ptCount val="47"/>
                <c:pt idx="0">
                  <c:v>6.772544106193492E-5</c:v>
                </c:pt>
                <c:pt idx="1">
                  <c:v>6.772544106193492E-5</c:v>
                </c:pt>
                <c:pt idx="2">
                  <c:v>4.8423690359283462E-3</c:v>
                </c:pt>
                <c:pt idx="3">
                  <c:v>1.1073109613626359E-2</c:v>
                </c:pt>
                <c:pt idx="4">
                  <c:v>1.635569401645728E-2</c:v>
                </c:pt>
                <c:pt idx="5">
                  <c:v>1.635569401645728E-2</c:v>
                </c:pt>
                <c:pt idx="6">
                  <c:v>1.635569401645728E-2</c:v>
                </c:pt>
                <c:pt idx="7">
                  <c:v>3.6605600893975819E-2</c:v>
                </c:pt>
                <c:pt idx="8">
                  <c:v>3.8975991331143545E-2</c:v>
                </c:pt>
                <c:pt idx="9">
                  <c:v>5.611052791981308E-2</c:v>
                </c:pt>
                <c:pt idx="10">
                  <c:v>6.6980461210253625E-2</c:v>
                </c:pt>
                <c:pt idx="11">
                  <c:v>7.7376316413260635E-2</c:v>
                </c:pt>
                <c:pt idx="12">
                  <c:v>7.7376316413260635E-2</c:v>
                </c:pt>
                <c:pt idx="13">
                  <c:v>7.7376316413260635E-2</c:v>
                </c:pt>
                <c:pt idx="14">
                  <c:v>7.7376316413260635E-2</c:v>
                </c:pt>
                <c:pt idx="15">
                  <c:v>0.11652162134705903</c:v>
                </c:pt>
                <c:pt idx="16">
                  <c:v>0.11713115031661643</c:v>
                </c:pt>
                <c:pt idx="17">
                  <c:v>0.15556533811926451</c:v>
                </c:pt>
                <c:pt idx="18">
                  <c:v>0.17314009007483661</c:v>
                </c:pt>
                <c:pt idx="19">
                  <c:v>0.17314009007483661</c:v>
                </c:pt>
                <c:pt idx="20">
                  <c:v>0.17314009007483661</c:v>
                </c:pt>
                <c:pt idx="21">
                  <c:v>0.2285056381429684</c:v>
                </c:pt>
                <c:pt idx="22">
                  <c:v>0.23033422505164064</c:v>
                </c:pt>
                <c:pt idx="23">
                  <c:v>0.27080017608614676</c:v>
                </c:pt>
                <c:pt idx="24">
                  <c:v>0.30178456537198201</c:v>
                </c:pt>
                <c:pt idx="25">
                  <c:v>0.33104195591073787</c:v>
                </c:pt>
                <c:pt idx="26">
                  <c:v>0.33104195591073787</c:v>
                </c:pt>
                <c:pt idx="27">
                  <c:v>0.33104195591073787</c:v>
                </c:pt>
                <c:pt idx="28">
                  <c:v>0.42220039958010225</c:v>
                </c:pt>
                <c:pt idx="29">
                  <c:v>0.42487555450204867</c:v>
                </c:pt>
                <c:pt idx="30">
                  <c:v>0.4839660018285869</c:v>
                </c:pt>
                <c:pt idx="31">
                  <c:v>0.52074091632521757</c:v>
                </c:pt>
                <c:pt idx="32">
                  <c:v>0.55910737868680371</c:v>
                </c:pt>
                <c:pt idx="33">
                  <c:v>0.55910737868680371</c:v>
                </c:pt>
                <c:pt idx="34">
                  <c:v>0.55910737868680371</c:v>
                </c:pt>
                <c:pt idx="35">
                  <c:v>0.65554840675899906</c:v>
                </c:pt>
                <c:pt idx="36">
                  <c:v>0.65812197351935253</c:v>
                </c:pt>
                <c:pt idx="37">
                  <c:v>0.71670448003792619</c:v>
                </c:pt>
                <c:pt idx="38">
                  <c:v>0.75517253056110523</c:v>
                </c:pt>
                <c:pt idx="39">
                  <c:v>0.79174426873455017</c:v>
                </c:pt>
                <c:pt idx="40">
                  <c:v>0.82939961396498596</c:v>
                </c:pt>
                <c:pt idx="41">
                  <c:v>0.82939961396498596</c:v>
                </c:pt>
                <c:pt idx="42">
                  <c:v>0.92109986116284581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6A-411C-8AF6-6DB225138208}"/>
            </c:ext>
          </c:extLst>
        </c:ser>
        <c:ser>
          <c:idx val="2"/>
          <c:order val="2"/>
          <c:tx>
            <c:strRef>
              <c:f>'Compare Return'!$V$6</c:f>
              <c:strCache>
                <c:ptCount val="1"/>
                <c:pt idx="0">
                  <c:v>2021 - % returned of total returned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'Compare Return'!$V$7:$V$53</c:f>
              <c:numCache>
                <c:formatCode>0%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C6A-411C-8AF6-6DB225138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5623904"/>
        <c:axId val="785624232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'Compare Return'!$AB$6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'Compare Return'!$AB$8:$AB$51</c15:sqref>
                        </c15:formulaRef>
                      </c:ext>
                    </c:extLst>
                    <c:numCache>
                      <c:formatCode>0%</c:formatCode>
                      <c:ptCount val="44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8E3F-4A2B-B3B4-F754223E7096}"/>
                  </c:ext>
                </c:extLst>
              </c15:ser>
            </c15:filteredLineSeries>
          </c:ext>
        </c:extLst>
      </c:lineChart>
      <c:catAx>
        <c:axId val="7856239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624232"/>
        <c:crosses val="autoZero"/>
        <c:auto val="1"/>
        <c:lblAlgn val="ctr"/>
        <c:lblOffset val="100"/>
        <c:noMultiLvlLbl val="0"/>
      </c:catAx>
      <c:valAx>
        <c:axId val="785624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62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Compare Early Voting -- Democratic Primaries</a:t>
            </a:r>
          </a:p>
        </c:rich>
      </c:tx>
      <c:layout>
        <c:manualLayout>
          <c:xMode val="edge"/>
          <c:yMode val="edge"/>
          <c:x val="0.13431233595800524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'Compare Early with ''17 &amp; ''20'!$C$3</c:f>
              <c:strCache>
                <c:ptCount val="1"/>
                <c:pt idx="0">
                  <c:v>2017 Running Total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'Compare Early with ''17 &amp; ''20'!$C$4:$C$47</c:f>
              <c:numCache>
                <c:formatCode>General</c:formatCode>
                <c:ptCount val="44"/>
                <c:pt idx="0">
                  <c:v>8</c:v>
                </c:pt>
                <c:pt idx="1">
                  <c:v>13</c:v>
                </c:pt>
                <c:pt idx="2">
                  <c:v>13</c:v>
                </c:pt>
                <c:pt idx="3">
                  <c:v>23</c:v>
                </c:pt>
                <c:pt idx="4">
                  <c:v>27</c:v>
                </c:pt>
                <c:pt idx="5">
                  <c:v>44</c:v>
                </c:pt>
                <c:pt idx="6">
                  <c:v>52</c:v>
                </c:pt>
                <c:pt idx="7">
                  <c:v>64</c:v>
                </c:pt>
                <c:pt idx="8">
                  <c:v>64</c:v>
                </c:pt>
                <c:pt idx="9">
                  <c:v>64</c:v>
                </c:pt>
                <c:pt idx="10">
                  <c:v>85</c:v>
                </c:pt>
                <c:pt idx="11">
                  <c:v>100</c:v>
                </c:pt>
                <c:pt idx="12">
                  <c:v>115</c:v>
                </c:pt>
                <c:pt idx="13">
                  <c:v>126</c:v>
                </c:pt>
                <c:pt idx="14">
                  <c:v>134</c:v>
                </c:pt>
                <c:pt idx="15">
                  <c:v>134</c:v>
                </c:pt>
                <c:pt idx="16">
                  <c:v>134</c:v>
                </c:pt>
                <c:pt idx="17">
                  <c:v>148</c:v>
                </c:pt>
                <c:pt idx="18">
                  <c:v>176</c:v>
                </c:pt>
                <c:pt idx="19">
                  <c:v>192</c:v>
                </c:pt>
                <c:pt idx="20">
                  <c:v>229</c:v>
                </c:pt>
                <c:pt idx="21">
                  <c:v>254</c:v>
                </c:pt>
                <c:pt idx="22">
                  <c:v>254</c:v>
                </c:pt>
                <c:pt idx="23">
                  <c:v>254</c:v>
                </c:pt>
                <c:pt idx="24">
                  <c:v>295</c:v>
                </c:pt>
                <c:pt idx="25">
                  <c:v>324</c:v>
                </c:pt>
                <c:pt idx="26">
                  <c:v>357</c:v>
                </c:pt>
                <c:pt idx="27">
                  <c:v>395</c:v>
                </c:pt>
                <c:pt idx="28">
                  <c:v>435</c:v>
                </c:pt>
                <c:pt idx="29">
                  <c:v>435</c:v>
                </c:pt>
                <c:pt idx="30">
                  <c:v>435</c:v>
                </c:pt>
                <c:pt idx="31">
                  <c:v>435</c:v>
                </c:pt>
                <c:pt idx="32">
                  <c:v>485</c:v>
                </c:pt>
                <c:pt idx="33">
                  <c:v>560</c:v>
                </c:pt>
                <c:pt idx="34">
                  <c:v>624</c:v>
                </c:pt>
                <c:pt idx="35">
                  <c:v>682</c:v>
                </c:pt>
                <c:pt idx="36">
                  <c:v>812</c:v>
                </c:pt>
                <c:pt idx="37">
                  <c:v>812</c:v>
                </c:pt>
                <c:pt idx="38">
                  <c:v>924</c:v>
                </c:pt>
                <c:pt idx="39">
                  <c:v>1038</c:v>
                </c:pt>
                <c:pt idx="40">
                  <c:v>1187</c:v>
                </c:pt>
                <c:pt idx="41">
                  <c:v>1312</c:v>
                </c:pt>
                <c:pt idx="42">
                  <c:v>1440</c:v>
                </c:pt>
                <c:pt idx="43">
                  <c:v>3121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65-40F2-A730-06AEC4C28FFB}"/>
            </c:ext>
          </c:extLst>
        </c:ser>
        <c:ser>
          <c:idx val="1"/>
          <c:order val="1"/>
          <c:tx>
            <c:strRef>
              <c:f>'Compare Early with ''17 &amp; ''20'!$F$3</c:f>
              <c:strCache>
                <c:ptCount val="1"/>
                <c:pt idx="0">
                  <c:v>2020 Running Total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'Compare Early with ''17 &amp; ''20'!$F$4:$F$47</c:f>
              <c:numCache>
                <c:formatCode>General</c:formatCode>
                <c:ptCount val="44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8</c:v>
                </c:pt>
                <c:pt idx="4">
                  <c:v>11</c:v>
                </c:pt>
                <c:pt idx="5">
                  <c:v>17</c:v>
                </c:pt>
                <c:pt idx="6">
                  <c:v>17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22</c:v>
                </c:pt>
                <c:pt idx="11">
                  <c:v>23</c:v>
                </c:pt>
                <c:pt idx="12">
                  <c:v>26</c:v>
                </c:pt>
                <c:pt idx="13">
                  <c:v>31</c:v>
                </c:pt>
                <c:pt idx="14">
                  <c:v>32</c:v>
                </c:pt>
                <c:pt idx="15">
                  <c:v>32</c:v>
                </c:pt>
                <c:pt idx="16">
                  <c:v>32</c:v>
                </c:pt>
                <c:pt idx="17">
                  <c:v>32</c:v>
                </c:pt>
                <c:pt idx="18">
                  <c:v>34</c:v>
                </c:pt>
                <c:pt idx="19">
                  <c:v>41</c:v>
                </c:pt>
                <c:pt idx="20">
                  <c:v>42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53</c:v>
                </c:pt>
                <c:pt idx="25">
                  <c:v>61</c:v>
                </c:pt>
                <c:pt idx="26">
                  <c:v>70</c:v>
                </c:pt>
                <c:pt idx="27">
                  <c:v>77</c:v>
                </c:pt>
                <c:pt idx="28">
                  <c:v>84</c:v>
                </c:pt>
                <c:pt idx="29">
                  <c:v>84</c:v>
                </c:pt>
                <c:pt idx="30">
                  <c:v>84</c:v>
                </c:pt>
                <c:pt idx="31">
                  <c:v>96</c:v>
                </c:pt>
                <c:pt idx="32">
                  <c:v>100</c:v>
                </c:pt>
                <c:pt idx="33">
                  <c:v>113</c:v>
                </c:pt>
                <c:pt idx="34">
                  <c:v>119</c:v>
                </c:pt>
                <c:pt idx="35">
                  <c:v>144</c:v>
                </c:pt>
                <c:pt idx="36">
                  <c:v>150</c:v>
                </c:pt>
                <c:pt idx="37">
                  <c:v>150</c:v>
                </c:pt>
                <c:pt idx="38">
                  <c:v>169</c:v>
                </c:pt>
                <c:pt idx="39">
                  <c:v>200</c:v>
                </c:pt>
                <c:pt idx="40">
                  <c:v>227</c:v>
                </c:pt>
                <c:pt idx="41">
                  <c:v>248</c:v>
                </c:pt>
                <c:pt idx="42">
                  <c:v>278</c:v>
                </c:pt>
                <c:pt idx="43">
                  <c:v>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65-40F2-A730-06AEC4C28FFB}"/>
            </c:ext>
          </c:extLst>
        </c:ser>
        <c:ser>
          <c:idx val="2"/>
          <c:order val="2"/>
          <c:tx>
            <c:strRef>
              <c:f>'Compare Early with ''17 &amp; ''20'!$I$3</c:f>
              <c:strCache>
                <c:ptCount val="1"/>
                <c:pt idx="0">
                  <c:v>2021 Running total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'Compare Early with ''17 &amp; ''20'!$I$4:$I$47</c:f>
              <c:numCache>
                <c:formatCode>General</c:formatCode>
                <c:ptCount val="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65-40F2-A730-06AEC4C28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7750632"/>
        <c:axId val="697749648"/>
      </c:lineChart>
      <c:catAx>
        <c:axId val="697750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749648"/>
        <c:crosses val="autoZero"/>
        <c:auto val="1"/>
        <c:lblAlgn val="ctr"/>
        <c:lblOffset val="100"/>
        <c:noMultiLvlLbl val="0"/>
      </c:catAx>
      <c:valAx>
        <c:axId val="69774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750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85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Compare AB</a:t>
            </a:r>
            <a:r>
              <a:rPr lang="en-US" baseline="0"/>
              <a:t> Mail-out -- Democratic Primaries</a:t>
            </a:r>
            <a:endParaRPr lang="en-US"/>
          </a:p>
        </c:rich>
      </c:tx>
      <c:layout>
        <c:manualLayout>
          <c:xMode val="edge"/>
          <c:yMode val="edge"/>
          <c:x val="0.154296875"/>
          <c:y val="2.98189563365282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'Compare Mailed with ''17 &amp; ''20'!$C$3</c:f>
              <c:strCache>
                <c:ptCount val="1"/>
                <c:pt idx="0">
                  <c:v>2017 Running total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'Compare Mailed with ''17 &amp; ''20'!$C$4:$C$49</c:f>
              <c:numCache>
                <c:formatCode>#,##0</c:formatCode>
                <c:ptCount val="46"/>
                <c:pt idx="0">
                  <c:v>0</c:v>
                </c:pt>
                <c:pt idx="1">
                  <c:v>2248</c:v>
                </c:pt>
                <c:pt idx="2">
                  <c:v>2248</c:v>
                </c:pt>
                <c:pt idx="3">
                  <c:v>2248</c:v>
                </c:pt>
                <c:pt idx="4">
                  <c:v>2248</c:v>
                </c:pt>
                <c:pt idx="5">
                  <c:v>2314</c:v>
                </c:pt>
                <c:pt idx="6">
                  <c:v>2343</c:v>
                </c:pt>
                <c:pt idx="7">
                  <c:v>2349</c:v>
                </c:pt>
                <c:pt idx="8">
                  <c:v>2400</c:v>
                </c:pt>
                <c:pt idx="9">
                  <c:v>2400</c:v>
                </c:pt>
                <c:pt idx="10">
                  <c:v>2400</c:v>
                </c:pt>
                <c:pt idx="11">
                  <c:v>2400</c:v>
                </c:pt>
                <c:pt idx="12">
                  <c:v>2495</c:v>
                </c:pt>
                <c:pt idx="13">
                  <c:v>2495</c:v>
                </c:pt>
                <c:pt idx="14">
                  <c:v>2551</c:v>
                </c:pt>
                <c:pt idx="15">
                  <c:v>2551</c:v>
                </c:pt>
                <c:pt idx="16">
                  <c:v>2551</c:v>
                </c:pt>
                <c:pt idx="17">
                  <c:v>2551</c:v>
                </c:pt>
                <c:pt idx="18">
                  <c:v>2631</c:v>
                </c:pt>
                <c:pt idx="19">
                  <c:v>2639</c:v>
                </c:pt>
                <c:pt idx="20">
                  <c:v>2696</c:v>
                </c:pt>
                <c:pt idx="21">
                  <c:v>2762</c:v>
                </c:pt>
                <c:pt idx="22">
                  <c:v>2762</c:v>
                </c:pt>
                <c:pt idx="23">
                  <c:v>2762</c:v>
                </c:pt>
                <c:pt idx="24">
                  <c:v>2762</c:v>
                </c:pt>
                <c:pt idx="25">
                  <c:v>2872</c:v>
                </c:pt>
                <c:pt idx="26">
                  <c:v>2985</c:v>
                </c:pt>
                <c:pt idx="27">
                  <c:v>3053</c:v>
                </c:pt>
                <c:pt idx="28">
                  <c:v>3108</c:v>
                </c:pt>
                <c:pt idx="29">
                  <c:v>3155</c:v>
                </c:pt>
                <c:pt idx="30">
                  <c:v>3155</c:v>
                </c:pt>
                <c:pt idx="31">
                  <c:v>3155</c:v>
                </c:pt>
                <c:pt idx="32">
                  <c:v>3155</c:v>
                </c:pt>
                <c:pt idx="33">
                  <c:v>3314</c:v>
                </c:pt>
                <c:pt idx="34">
                  <c:v>3414</c:v>
                </c:pt>
                <c:pt idx="35">
                  <c:v>3480</c:v>
                </c:pt>
                <c:pt idx="36">
                  <c:v>3538</c:v>
                </c:pt>
                <c:pt idx="37">
                  <c:v>3538</c:v>
                </c:pt>
                <c:pt idx="38">
                  <c:v>3538</c:v>
                </c:pt>
                <c:pt idx="39">
                  <c:v>3668</c:v>
                </c:pt>
                <c:pt idx="40">
                  <c:v>3894</c:v>
                </c:pt>
                <c:pt idx="41">
                  <c:v>4055</c:v>
                </c:pt>
                <c:pt idx="42">
                  <c:v>4055</c:v>
                </c:pt>
                <c:pt idx="43">
                  <c:v>4055</c:v>
                </c:pt>
                <c:pt idx="44">
                  <c:v>4055</c:v>
                </c:pt>
                <c:pt idx="45">
                  <c:v>4055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1C8-4A7C-8952-504D649B543B}"/>
            </c:ext>
          </c:extLst>
        </c:ser>
        <c:ser>
          <c:idx val="1"/>
          <c:order val="1"/>
          <c:tx>
            <c:strRef>
              <c:f>'Compare Mailed with ''17 &amp; ''20'!$F$3</c:f>
              <c:strCache>
                <c:ptCount val="1"/>
                <c:pt idx="0">
                  <c:v>2020 Running total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'Compare Mailed with ''17 &amp; ''20'!$F$4:$F$49</c:f>
              <c:numCache>
                <c:formatCode>#,##0</c:formatCode>
                <c:ptCount val="46"/>
                <c:pt idx="0">
                  <c:v>0</c:v>
                </c:pt>
                <c:pt idx="1">
                  <c:v>5114</c:v>
                </c:pt>
                <c:pt idx="2">
                  <c:v>5114</c:v>
                </c:pt>
                <c:pt idx="3">
                  <c:v>5114</c:v>
                </c:pt>
                <c:pt idx="4">
                  <c:v>5596</c:v>
                </c:pt>
                <c:pt idx="5">
                  <c:v>6133</c:v>
                </c:pt>
                <c:pt idx="6">
                  <c:v>6894</c:v>
                </c:pt>
                <c:pt idx="7">
                  <c:v>7539</c:v>
                </c:pt>
                <c:pt idx="8">
                  <c:v>8783</c:v>
                </c:pt>
                <c:pt idx="9">
                  <c:v>8783</c:v>
                </c:pt>
                <c:pt idx="10">
                  <c:v>8783</c:v>
                </c:pt>
                <c:pt idx="11">
                  <c:v>9922</c:v>
                </c:pt>
                <c:pt idx="12">
                  <c:v>11369</c:v>
                </c:pt>
                <c:pt idx="13">
                  <c:v>11725</c:v>
                </c:pt>
                <c:pt idx="14">
                  <c:v>12771</c:v>
                </c:pt>
                <c:pt idx="15">
                  <c:v>14678</c:v>
                </c:pt>
                <c:pt idx="16">
                  <c:v>14678</c:v>
                </c:pt>
                <c:pt idx="17">
                  <c:v>14678</c:v>
                </c:pt>
                <c:pt idx="18">
                  <c:v>14678</c:v>
                </c:pt>
                <c:pt idx="19">
                  <c:v>16522</c:v>
                </c:pt>
                <c:pt idx="20">
                  <c:v>18071</c:v>
                </c:pt>
                <c:pt idx="21">
                  <c:v>19603</c:v>
                </c:pt>
                <c:pt idx="22">
                  <c:v>21346</c:v>
                </c:pt>
                <c:pt idx="23">
                  <c:v>21346</c:v>
                </c:pt>
                <c:pt idx="24">
                  <c:v>21346</c:v>
                </c:pt>
                <c:pt idx="25">
                  <c:v>23109</c:v>
                </c:pt>
                <c:pt idx="26">
                  <c:v>25937</c:v>
                </c:pt>
                <c:pt idx="27">
                  <c:v>26660</c:v>
                </c:pt>
                <c:pt idx="28">
                  <c:v>28380</c:v>
                </c:pt>
                <c:pt idx="29">
                  <c:v>29759</c:v>
                </c:pt>
                <c:pt idx="30">
                  <c:v>29759</c:v>
                </c:pt>
                <c:pt idx="31">
                  <c:v>29759</c:v>
                </c:pt>
                <c:pt idx="32">
                  <c:v>31059</c:v>
                </c:pt>
                <c:pt idx="33">
                  <c:v>32129</c:v>
                </c:pt>
                <c:pt idx="34">
                  <c:v>32790</c:v>
                </c:pt>
                <c:pt idx="35">
                  <c:v>33843</c:v>
                </c:pt>
                <c:pt idx="36">
                  <c:v>34888</c:v>
                </c:pt>
                <c:pt idx="37">
                  <c:v>34888</c:v>
                </c:pt>
                <c:pt idx="38">
                  <c:v>34888</c:v>
                </c:pt>
                <c:pt idx="39">
                  <c:v>35582</c:v>
                </c:pt>
                <c:pt idx="40">
                  <c:v>37972</c:v>
                </c:pt>
                <c:pt idx="41">
                  <c:v>38808</c:v>
                </c:pt>
                <c:pt idx="42">
                  <c:v>38810</c:v>
                </c:pt>
                <c:pt idx="43">
                  <c:v>38810</c:v>
                </c:pt>
                <c:pt idx="44">
                  <c:v>38810</c:v>
                </c:pt>
                <c:pt idx="45">
                  <c:v>38810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1C8-4A7C-8952-504D649B543B}"/>
            </c:ext>
          </c:extLst>
        </c:ser>
        <c:ser>
          <c:idx val="2"/>
          <c:order val="2"/>
          <c:tx>
            <c:strRef>
              <c:f>'Compare Mailed with ''17 &amp; ''20'!$I$3</c:f>
              <c:strCache>
                <c:ptCount val="1"/>
                <c:pt idx="0">
                  <c:v>2021 Running Total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'Compare Mailed with ''17 &amp; ''20'!$I$4:$I$49</c:f>
              <c:numCache>
                <c:formatCode>#,##0</c:formatCode>
                <c:ptCount val="46"/>
                <c:pt idx="0">
                  <c:v>41065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1C8-4A7C-8952-504D649B5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8060600"/>
        <c:axId val="413653320"/>
      </c:lineChart>
      <c:catAx>
        <c:axId val="4080606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653320"/>
        <c:crosses val="autoZero"/>
        <c:auto val="1"/>
        <c:lblAlgn val="ctr"/>
        <c:lblOffset val="100"/>
        <c:noMultiLvlLbl val="0"/>
      </c:catAx>
      <c:valAx>
        <c:axId val="413653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060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85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Voting</a:t>
            </a:r>
            <a:r>
              <a:rPr lang="en-US" baseline="0"/>
              <a:t> Mailout + Early Voting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'Compare Mailout+Early'!$C$3</c:f>
              <c:strCache>
                <c:ptCount val="1"/>
                <c:pt idx="0">
                  <c:v>2017 RunningTotal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'Compare Mailout+Early'!$C$4:$C$47</c:f>
              <c:numCache>
                <c:formatCode>#,##0</c:formatCode>
                <c:ptCount val="44"/>
                <c:pt idx="0">
                  <c:v>8</c:v>
                </c:pt>
                <c:pt idx="1">
                  <c:v>2261</c:v>
                </c:pt>
                <c:pt idx="2">
                  <c:v>2261</c:v>
                </c:pt>
                <c:pt idx="3">
                  <c:v>2271</c:v>
                </c:pt>
                <c:pt idx="4">
                  <c:v>2275</c:v>
                </c:pt>
                <c:pt idx="5">
                  <c:v>2358</c:v>
                </c:pt>
                <c:pt idx="6">
                  <c:v>2395</c:v>
                </c:pt>
                <c:pt idx="7">
                  <c:v>2413</c:v>
                </c:pt>
                <c:pt idx="8">
                  <c:v>2464</c:v>
                </c:pt>
                <c:pt idx="9">
                  <c:v>2464</c:v>
                </c:pt>
                <c:pt idx="10">
                  <c:v>2485</c:v>
                </c:pt>
                <c:pt idx="11">
                  <c:v>2500</c:v>
                </c:pt>
                <c:pt idx="12">
                  <c:v>2610</c:v>
                </c:pt>
                <c:pt idx="13">
                  <c:v>2621</c:v>
                </c:pt>
                <c:pt idx="14">
                  <c:v>2685</c:v>
                </c:pt>
                <c:pt idx="15">
                  <c:v>2685</c:v>
                </c:pt>
                <c:pt idx="16">
                  <c:v>2685</c:v>
                </c:pt>
                <c:pt idx="17">
                  <c:v>2699</c:v>
                </c:pt>
                <c:pt idx="18">
                  <c:v>2807</c:v>
                </c:pt>
                <c:pt idx="19">
                  <c:v>2831</c:v>
                </c:pt>
                <c:pt idx="20">
                  <c:v>2925</c:v>
                </c:pt>
                <c:pt idx="21">
                  <c:v>3016</c:v>
                </c:pt>
                <c:pt idx="22">
                  <c:v>3016</c:v>
                </c:pt>
                <c:pt idx="23">
                  <c:v>3016</c:v>
                </c:pt>
                <c:pt idx="24">
                  <c:v>3057</c:v>
                </c:pt>
                <c:pt idx="25">
                  <c:v>3196</c:v>
                </c:pt>
                <c:pt idx="26">
                  <c:v>3342</c:v>
                </c:pt>
                <c:pt idx="27">
                  <c:v>3448</c:v>
                </c:pt>
                <c:pt idx="28">
                  <c:v>3543</c:v>
                </c:pt>
                <c:pt idx="29">
                  <c:v>3590</c:v>
                </c:pt>
                <c:pt idx="30">
                  <c:v>3590</c:v>
                </c:pt>
                <c:pt idx="31">
                  <c:v>3590</c:v>
                </c:pt>
                <c:pt idx="32">
                  <c:v>3640</c:v>
                </c:pt>
                <c:pt idx="33">
                  <c:v>3874</c:v>
                </c:pt>
                <c:pt idx="34">
                  <c:v>4038</c:v>
                </c:pt>
                <c:pt idx="35">
                  <c:v>4162</c:v>
                </c:pt>
                <c:pt idx="36">
                  <c:v>4350</c:v>
                </c:pt>
                <c:pt idx="37">
                  <c:v>4350</c:v>
                </c:pt>
                <c:pt idx="38">
                  <c:v>4462</c:v>
                </c:pt>
                <c:pt idx="39">
                  <c:v>4706</c:v>
                </c:pt>
                <c:pt idx="40">
                  <c:v>5081</c:v>
                </c:pt>
                <c:pt idx="41">
                  <c:v>5367</c:v>
                </c:pt>
                <c:pt idx="42">
                  <c:v>5495</c:v>
                </c:pt>
                <c:pt idx="43">
                  <c:v>7176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30-4F55-9B8B-88F168B4BF13}"/>
            </c:ext>
          </c:extLst>
        </c:ser>
        <c:ser>
          <c:idx val="1"/>
          <c:order val="1"/>
          <c:tx>
            <c:strRef>
              <c:f>'Compare Mailout+Early'!$G$3</c:f>
              <c:strCache>
                <c:ptCount val="1"/>
                <c:pt idx="0">
                  <c:v>2020 Running Total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'Compare Mailout+Early'!$G$4:$G$47</c:f>
              <c:numCache>
                <c:formatCode>#,##0</c:formatCode>
                <c:ptCount val="44"/>
                <c:pt idx="0">
                  <c:v>4</c:v>
                </c:pt>
                <c:pt idx="1">
                  <c:v>5118</c:v>
                </c:pt>
                <c:pt idx="2">
                  <c:v>5118</c:v>
                </c:pt>
                <c:pt idx="3">
                  <c:v>5122</c:v>
                </c:pt>
                <c:pt idx="4">
                  <c:v>5607</c:v>
                </c:pt>
                <c:pt idx="5">
                  <c:v>6150</c:v>
                </c:pt>
                <c:pt idx="6">
                  <c:v>6911</c:v>
                </c:pt>
                <c:pt idx="7">
                  <c:v>7560</c:v>
                </c:pt>
                <c:pt idx="8">
                  <c:v>8804</c:v>
                </c:pt>
                <c:pt idx="9">
                  <c:v>8804</c:v>
                </c:pt>
                <c:pt idx="10">
                  <c:v>8805</c:v>
                </c:pt>
                <c:pt idx="11">
                  <c:v>9945</c:v>
                </c:pt>
                <c:pt idx="12">
                  <c:v>11395</c:v>
                </c:pt>
                <c:pt idx="13">
                  <c:v>11756</c:v>
                </c:pt>
                <c:pt idx="14">
                  <c:v>12803</c:v>
                </c:pt>
                <c:pt idx="15">
                  <c:v>14710</c:v>
                </c:pt>
                <c:pt idx="16">
                  <c:v>14710</c:v>
                </c:pt>
                <c:pt idx="17">
                  <c:v>14710</c:v>
                </c:pt>
                <c:pt idx="18">
                  <c:v>14712</c:v>
                </c:pt>
                <c:pt idx="19">
                  <c:v>16563</c:v>
                </c:pt>
                <c:pt idx="20">
                  <c:v>18113</c:v>
                </c:pt>
                <c:pt idx="21">
                  <c:v>19653</c:v>
                </c:pt>
                <c:pt idx="22">
                  <c:v>21396</c:v>
                </c:pt>
                <c:pt idx="23">
                  <c:v>21396</c:v>
                </c:pt>
                <c:pt idx="24">
                  <c:v>21399</c:v>
                </c:pt>
                <c:pt idx="25">
                  <c:v>23170</c:v>
                </c:pt>
                <c:pt idx="26">
                  <c:v>26007</c:v>
                </c:pt>
                <c:pt idx="27">
                  <c:v>26737</c:v>
                </c:pt>
                <c:pt idx="28">
                  <c:v>28464</c:v>
                </c:pt>
                <c:pt idx="29">
                  <c:v>29843</c:v>
                </c:pt>
                <c:pt idx="30">
                  <c:v>29843</c:v>
                </c:pt>
                <c:pt idx="31">
                  <c:v>29855</c:v>
                </c:pt>
                <c:pt idx="32">
                  <c:v>31159</c:v>
                </c:pt>
                <c:pt idx="33">
                  <c:v>32242</c:v>
                </c:pt>
                <c:pt idx="34">
                  <c:v>32909</c:v>
                </c:pt>
                <c:pt idx="35">
                  <c:v>33987</c:v>
                </c:pt>
                <c:pt idx="36">
                  <c:v>35038</c:v>
                </c:pt>
                <c:pt idx="37">
                  <c:v>35038</c:v>
                </c:pt>
                <c:pt idx="38">
                  <c:v>35057</c:v>
                </c:pt>
                <c:pt idx="39">
                  <c:v>35782</c:v>
                </c:pt>
                <c:pt idx="40">
                  <c:v>38199</c:v>
                </c:pt>
                <c:pt idx="41">
                  <c:v>39056</c:v>
                </c:pt>
                <c:pt idx="42">
                  <c:v>39088</c:v>
                </c:pt>
                <c:pt idx="43">
                  <c:v>39125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30-4F55-9B8B-88F168B4BF13}"/>
            </c:ext>
          </c:extLst>
        </c:ser>
        <c:ser>
          <c:idx val="2"/>
          <c:order val="2"/>
          <c:tx>
            <c:strRef>
              <c:f>'Compare Mailout+Early'!$K$3</c:f>
              <c:strCache>
                <c:ptCount val="1"/>
                <c:pt idx="0">
                  <c:v>2020 Running Total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'Compare Mailout+Early'!$K$4:$K$47</c:f>
              <c:numCache>
                <c:formatCode>#,##0</c:formatCode>
                <c:ptCount val="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30-4F55-9B8B-88F168B4B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5100128"/>
        <c:axId val="625103736"/>
      </c:lineChart>
      <c:catAx>
        <c:axId val="6251001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103736"/>
        <c:crosses val="autoZero"/>
        <c:auto val="1"/>
        <c:lblAlgn val="ctr"/>
        <c:lblOffset val="100"/>
        <c:noMultiLvlLbl val="0"/>
      </c:catAx>
      <c:valAx>
        <c:axId val="62510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10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85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549088</xdr:colOff>
      <xdr:row>47</xdr:row>
      <xdr:rowOff>56029</xdr:rowOff>
    </xdr:from>
    <xdr:to>
      <xdr:col>5</xdr:col>
      <xdr:colOff>560294</xdr:colOff>
      <xdr:row>52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5840DE2-A05D-4349-A853-D72B58CEF12A}"/>
            </a:ext>
          </a:extLst>
        </xdr:cNvPr>
        <xdr:cNvCxnSpPr/>
      </xdr:nvCxnSpPr>
      <xdr:spPr>
        <a:xfrm>
          <a:off x="4527176" y="10242176"/>
          <a:ext cx="11206" cy="95250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190500</xdr:colOff>
      <xdr:row>0</xdr:row>
      <xdr:rowOff>266700</xdr:rowOff>
    </xdr:from>
    <xdr:to>
      <xdr:col>18</xdr:col>
      <xdr:colOff>371475</xdr:colOff>
      <xdr:row>13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284D25-8794-447E-B1F9-9AA26EADA0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628649</xdr:colOff>
      <xdr:row>1</xdr:row>
      <xdr:rowOff>104774</xdr:rowOff>
    </xdr:from>
    <xdr:to>
      <xdr:col>9</xdr:col>
      <xdr:colOff>295275</xdr:colOff>
      <xdr:row>3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991B1E-70EF-45FE-8A57-55C7782DC9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66675</xdr:colOff>
      <xdr:row>2</xdr:row>
      <xdr:rowOff>19050</xdr:rowOff>
    </xdr:from>
    <xdr:to>
      <xdr:col>19</xdr:col>
      <xdr:colOff>104775</xdr:colOff>
      <xdr:row>2</xdr:row>
      <xdr:rowOff>3171825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708DF5-5050-42FB-BED4-CC363DCB8F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247649</xdr:colOff>
      <xdr:row>0</xdr:row>
      <xdr:rowOff>276224</xdr:rowOff>
    </xdr:from>
    <xdr:to>
      <xdr:col>17</xdr:col>
      <xdr:colOff>161925</xdr:colOff>
      <xdr:row>11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324518-B0E6-45EE-B872-0E2B23A38C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409575</xdr:colOff>
      <xdr:row>1</xdr:row>
      <xdr:rowOff>0</xdr:rowOff>
    </xdr:from>
    <xdr:to>
      <xdr:col>16</xdr:col>
      <xdr:colOff>485775</xdr:colOff>
      <xdr:row>12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04DF00-EB07-4151-B09C-BD348D368E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190500</xdr:colOff>
      <xdr:row>0</xdr:row>
      <xdr:rowOff>342900</xdr:rowOff>
    </xdr:from>
    <xdr:to>
      <xdr:col>18</xdr:col>
      <xdr:colOff>371475</xdr:colOff>
      <xdr:row>10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34FD2D-095C-412D-85EB-D10ADA8C3F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2F80C-1B26-4124-8268-409D767342A5}">
  <sheetPr>
    <pageSetUpPr fitToPage="1"/>
  </sheetPr>
  <dimension ref="A1:N19"/>
  <sheetViews>
    <sheetView showGridLines="0" tabSelected="1" zoomScale="85" zoomScaleNormal="85" workbookViewId="0">
      <selection activeCell="F14" sqref="F14"/>
    </sheetView>
  </sheetViews>
  <sheetFormatPr defaultColWidth="9" defaultRowHeight="14.25" x14ac:dyDescent="0.2"/>
  <cols>
    <col min="1" max="7" width="15.625" style="357" customWidth="1"/>
    <col min="8" max="16384" width="9" style="357"/>
  </cols>
  <sheetData>
    <row r="1" spans="1:14" ht="15" x14ac:dyDescent="0.25">
      <c r="A1" s="559" t="s">
        <v>0</v>
      </c>
      <c r="B1" s="559"/>
      <c r="C1" s="559"/>
      <c r="D1" s="559"/>
      <c r="E1" s="559"/>
      <c r="F1" s="559"/>
      <c r="G1" s="559"/>
    </row>
    <row r="2" spans="1:14" ht="15" x14ac:dyDescent="0.25">
      <c r="A2" s="559" t="s">
        <v>100</v>
      </c>
      <c r="B2" s="559"/>
      <c r="C2" s="559"/>
      <c r="D2" s="559"/>
      <c r="E2" s="559"/>
      <c r="F2" s="559"/>
      <c r="G2" s="559"/>
    </row>
    <row r="3" spans="1:14" ht="15" x14ac:dyDescent="0.25">
      <c r="A3" s="560" t="s">
        <v>99</v>
      </c>
      <c r="B3" s="560"/>
      <c r="C3" s="560"/>
      <c r="D3" s="560"/>
      <c r="E3" s="560"/>
      <c r="F3" s="560"/>
      <c r="G3" s="560"/>
    </row>
    <row r="4" spans="1:14" ht="15" x14ac:dyDescent="0.25">
      <c r="A4" s="509"/>
      <c r="B4" s="509"/>
      <c r="C4" s="509"/>
      <c r="D4" s="509"/>
      <c r="E4" s="509"/>
      <c r="G4" s="509"/>
    </row>
    <row r="5" spans="1:14" ht="18.75" x14ac:dyDescent="0.3">
      <c r="A5" s="561" t="s">
        <v>146</v>
      </c>
      <c r="B5" s="561"/>
      <c r="C5" s="561"/>
      <c r="D5" s="561"/>
      <c r="E5" s="561"/>
      <c r="F5" s="561"/>
      <c r="G5" s="561"/>
    </row>
    <row r="6" spans="1:14" ht="18" x14ac:dyDescent="0.25">
      <c r="A6" s="510"/>
      <c r="B6" s="510"/>
      <c r="C6" s="510"/>
      <c r="D6" s="556" t="s">
        <v>147</v>
      </c>
      <c r="E6" s="510"/>
      <c r="F6" s="510"/>
      <c r="G6" s="510"/>
    </row>
    <row r="7" spans="1:14" ht="15" customHeight="1" x14ac:dyDescent="0.2">
      <c r="A7" s="358"/>
      <c r="B7" s="359"/>
      <c r="C7" s="359"/>
      <c r="D7" s="359"/>
      <c r="E7" s="359"/>
      <c r="F7" s="359"/>
    </row>
    <row r="8" spans="1:14" ht="32.25" thickBot="1" x14ac:dyDescent="0.25">
      <c r="A8" s="360" t="s">
        <v>80</v>
      </c>
      <c r="B8" s="361" t="s">
        <v>31</v>
      </c>
      <c r="C8" s="361" t="s">
        <v>61</v>
      </c>
      <c r="D8" s="361" t="s">
        <v>106</v>
      </c>
      <c r="E8" s="466" t="s">
        <v>108</v>
      </c>
      <c r="F8" s="361" t="s">
        <v>112</v>
      </c>
      <c r="G8" s="362" t="s">
        <v>88</v>
      </c>
    </row>
    <row r="9" spans="1:14" ht="30" customHeight="1" x14ac:dyDescent="0.2">
      <c r="A9" s="363">
        <v>730300</v>
      </c>
      <c r="B9" s="363">
        <f>Mailed!B6</f>
        <v>82239</v>
      </c>
      <c r="C9" s="363">
        <f>'Returned mail'!B6</f>
        <v>48058</v>
      </c>
      <c r="D9" s="363">
        <f>'Returned Drop Box'!B6</f>
        <v>19217</v>
      </c>
      <c r="E9" s="370">
        <f>C9+D9</f>
        <v>67275</v>
      </c>
      <c r="F9" s="363">
        <f>'Early voting'!B5</f>
        <v>109764</v>
      </c>
      <c r="G9" s="364">
        <f>D11/A9</f>
        <v>0.24241955360810627</v>
      </c>
      <c r="I9" s="367"/>
      <c r="J9" s="367"/>
      <c r="K9" s="367"/>
      <c r="L9" s="365"/>
      <c r="M9" s="365"/>
      <c r="N9" s="365"/>
    </row>
    <row r="10" spans="1:14" ht="12.95" customHeight="1" x14ac:dyDescent="0.2">
      <c r="A10" s="366"/>
      <c r="B10" s="366"/>
      <c r="C10" s="366"/>
      <c r="D10" s="366"/>
      <c r="E10" s="366"/>
      <c r="F10" s="367"/>
      <c r="I10" s="367"/>
      <c r="J10" s="367"/>
      <c r="K10" s="367"/>
      <c r="L10" s="365"/>
      <c r="M10" s="365"/>
      <c r="N10" s="365"/>
    </row>
    <row r="11" spans="1:14" ht="36.75" customHeight="1" x14ac:dyDescent="0.2">
      <c r="B11" s="557" t="s">
        <v>2</v>
      </c>
      <c r="C11" s="558"/>
      <c r="D11" s="368">
        <f>E9+F9</f>
        <v>177039</v>
      </c>
      <c r="E11" s="511">
        <f>E9/(B9-'In person instead'!B5)</f>
        <v>0.83530960155949296</v>
      </c>
      <c r="I11" s="367"/>
      <c r="J11" s="553"/>
      <c r="K11" s="367"/>
      <c r="L11" s="365"/>
      <c r="M11" s="365"/>
      <c r="N11" s="365"/>
    </row>
    <row r="12" spans="1:14" s="462" customFormat="1" ht="27.75" customHeight="1" x14ac:dyDescent="0.25">
      <c r="B12" s="564" t="s">
        <v>107</v>
      </c>
      <c r="C12" s="564"/>
      <c r="D12" s="465"/>
      <c r="F12" s="522">
        <f>0.75*B9</f>
        <v>61679.25</v>
      </c>
      <c r="I12" s="464"/>
      <c r="J12" s="464"/>
      <c r="K12" s="464"/>
      <c r="M12" s="464"/>
    </row>
    <row r="13" spans="1:14" ht="24" customHeight="1" x14ac:dyDescent="0.2">
      <c r="B13" s="562" t="s">
        <v>109</v>
      </c>
      <c r="C13" s="563"/>
      <c r="D13" s="371">
        <f>F9/D11</f>
        <v>0.61999898327487168</v>
      </c>
      <c r="I13" s="367"/>
      <c r="J13" s="367"/>
      <c r="K13" s="367"/>
      <c r="M13" s="367"/>
    </row>
    <row r="14" spans="1:14" ht="24" customHeight="1" x14ac:dyDescent="0.2">
      <c r="B14" s="562" t="s">
        <v>127</v>
      </c>
      <c r="C14" s="563"/>
      <c r="D14" s="371">
        <f>E9/D11</f>
        <v>0.38000101672512837</v>
      </c>
      <c r="E14" s="463"/>
      <c r="I14" s="367"/>
      <c r="J14" s="367"/>
      <c r="K14" s="367"/>
    </row>
    <row r="15" spans="1:14" ht="19.5" customHeight="1" x14ac:dyDescent="0.2">
      <c r="E15" s="369"/>
    </row>
    <row r="16" spans="1:14" ht="24" customHeight="1" x14ac:dyDescent="0.2">
      <c r="A16" s="565" t="s">
        <v>110</v>
      </c>
      <c r="B16" s="565"/>
      <c r="C16" s="566"/>
      <c r="D16" s="371">
        <f>'In person instead'!B5/F9</f>
        <v>1.5487773769177508E-2</v>
      </c>
      <c r="E16" s="463"/>
    </row>
    <row r="17" spans="1:5" ht="22.5" customHeight="1" x14ac:dyDescent="0.2">
      <c r="A17" s="562" t="s">
        <v>111</v>
      </c>
      <c r="B17" s="562"/>
      <c r="C17" s="563"/>
      <c r="D17" s="371">
        <f>D9/E9</f>
        <v>0.28564845782237086</v>
      </c>
      <c r="E17" s="463"/>
    </row>
    <row r="18" spans="1:5" ht="15" x14ac:dyDescent="0.2">
      <c r="D18" s="369"/>
      <c r="E18" s="369"/>
    </row>
    <row r="19" spans="1:5" x14ac:dyDescent="0.2">
      <c r="E19" s="357" t="s">
        <v>129</v>
      </c>
    </row>
  </sheetData>
  <sheetProtection algorithmName="SHA-512" hashValue="zhA28lUFCahMls1H66TDZYUKl97wNCKKWUZqg9Cry67N/BdoU00hLs+BPIBdwf866jYwFZ34yXAfp8ZmQNntWA==" saltValue="ALXgVkwFSPah00J90SkH2A==" spinCount="100000" sheet="1" objects="1" scenarios="1"/>
  <mergeCells count="10">
    <mergeCell ref="A17:C17"/>
    <mergeCell ref="B13:C13"/>
    <mergeCell ref="B14:C14"/>
    <mergeCell ref="B12:C12"/>
    <mergeCell ref="A16:C16"/>
    <mergeCell ref="B11:C11"/>
    <mergeCell ref="A2:G2"/>
    <mergeCell ref="A3:G3"/>
    <mergeCell ref="A5:G5"/>
    <mergeCell ref="A1:G1"/>
  </mergeCells>
  <pageMargins left="0.7" right="0.7" top="0.75" bottom="0.75" header="0.3" footer="0.3"/>
  <pageSetup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EDD7F-1706-4F9B-A651-3A9DFBD85D8B}">
  <dimension ref="A1:H55"/>
  <sheetViews>
    <sheetView showGridLines="0" zoomScale="85" zoomScaleNormal="85" workbookViewId="0">
      <pane ySplit="6" topLeftCell="A39" activePane="bottomLeft" state="frozen"/>
      <selection pane="bottomLeft" activeCell="C53" sqref="C53"/>
    </sheetView>
  </sheetViews>
  <sheetFormatPr defaultRowHeight="14.25" x14ac:dyDescent="0.2"/>
  <cols>
    <col min="1" max="2" width="11.75" customWidth="1"/>
    <col min="3" max="5" width="9.625" style="41" customWidth="1"/>
    <col min="6" max="6" width="15.75" customWidth="1"/>
  </cols>
  <sheetData>
    <row r="1" spans="1:8" ht="36.75" customHeight="1" x14ac:dyDescent="0.25">
      <c r="A1" s="567" t="s">
        <v>4</v>
      </c>
      <c r="B1" s="567"/>
      <c r="C1" s="567"/>
      <c r="D1" s="567"/>
      <c r="E1" s="567"/>
    </row>
    <row r="2" spans="1:8" ht="21" customHeight="1" x14ac:dyDescent="0.25">
      <c r="A2" s="568" t="s">
        <v>95</v>
      </c>
      <c r="B2" s="568"/>
      <c r="C2" s="568"/>
      <c r="D2" s="568"/>
      <c r="E2" s="568"/>
      <c r="F2" s="42"/>
      <c r="G2" s="356"/>
      <c r="H2" s="355"/>
    </row>
    <row r="3" spans="1:8" ht="10.5" customHeight="1" x14ac:dyDescent="0.25">
      <c r="A3" s="2"/>
      <c r="B3" s="2"/>
      <c r="C3" s="79"/>
      <c r="D3" s="79"/>
      <c r="E3" s="79"/>
    </row>
    <row r="4" spans="1:8" ht="23.25" customHeight="1" x14ac:dyDescent="0.2">
      <c r="A4" s="569" t="s">
        <v>65</v>
      </c>
      <c r="B4" s="570"/>
      <c r="C4" s="570"/>
      <c r="D4" s="570"/>
      <c r="E4" s="571"/>
    </row>
    <row r="5" spans="1:8" ht="30.75" thickBot="1" x14ac:dyDescent="0.25">
      <c r="A5" s="4" t="s">
        <v>5</v>
      </c>
      <c r="B5" s="345" t="s">
        <v>1</v>
      </c>
      <c r="C5" s="80" t="s">
        <v>6</v>
      </c>
      <c r="D5" s="81" t="s">
        <v>7</v>
      </c>
      <c r="E5" s="344" t="s">
        <v>8</v>
      </c>
    </row>
    <row r="6" spans="1:8" ht="26.25" customHeight="1" thickBot="1" x14ac:dyDescent="0.25">
      <c r="A6" s="450" t="s">
        <v>1</v>
      </c>
      <c r="B6" s="212">
        <f>SUM(B7:B52)</f>
        <v>82239</v>
      </c>
      <c r="C6" s="451">
        <f>SUM(C7:C52)</f>
        <v>75522</v>
      </c>
      <c r="D6" s="452">
        <f>SUM(D7:D52)</f>
        <v>1779</v>
      </c>
      <c r="E6" s="212">
        <f>SUM(E7:E52)</f>
        <v>4938</v>
      </c>
    </row>
    <row r="7" spans="1:8" ht="18" customHeight="1" x14ac:dyDescent="0.2">
      <c r="A7" s="244">
        <v>44456</v>
      </c>
      <c r="B7" s="207">
        <f>SUM(C7:E7)</f>
        <v>41065</v>
      </c>
      <c r="C7" s="346">
        <f>36534-D7</f>
        <v>34987</v>
      </c>
      <c r="D7" s="347">
        <f>1542+5</f>
        <v>1547</v>
      </c>
      <c r="E7" s="348">
        <f>4525+6</f>
        <v>4531</v>
      </c>
      <c r="F7" s="246">
        <f>SUM(C7:D7)</f>
        <v>36534</v>
      </c>
    </row>
    <row r="8" spans="1:8" s="77" customFormat="1" ht="15.75" x14ac:dyDescent="0.2">
      <c r="A8" s="245">
        <v>44457</v>
      </c>
      <c r="B8" s="208"/>
      <c r="C8" s="349"/>
      <c r="D8" s="350"/>
      <c r="E8" s="351"/>
      <c r="F8" s="246">
        <f t="shared" ref="F8:F51" si="0">SUM(C8:D8)</f>
        <v>0</v>
      </c>
      <c r="G8" s="343"/>
    </row>
    <row r="9" spans="1:8" s="77" customFormat="1" ht="15.75" x14ac:dyDescent="0.2">
      <c r="A9" s="245">
        <v>44458</v>
      </c>
      <c r="B9" s="209"/>
      <c r="C9" s="349"/>
      <c r="D9" s="350"/>
      <c r="E9" s="351"/>
      <c r="F9" s="246">
        <f t="shared" si="0"/>
        <v>0</v>
      </c>
    </row>
    <row r="10" spans="1:8" s="77" customFormat="1" ht="15.75" x14ac:dyDescent="0.2">
      <c r="A10" s="245">
        <v>44459</v>
      </c>
      <c r="B10" s="210">
        <f>SUM(C10:E10)</f>
        <v>2064</v>
      </c>
      <c r="C10" s="352">
        <v>2047</v>
      </c>
      <c r="D10" s="353">
        <v>10</v>
      </c>
      <c r="E10" s="354">
        <v>7</v>
      </c>
      <c r="F10" s="246">
        <f t="shared" si="0"/>
        <v>2057</v>
      </c>
    </row>
    <row r="11" spans="1:8" s="77" customFormat="1" ht="15.75" x14ac:dyDescent="0.2">
      <c r="A11" s="245">
        <v>44460</v>
      </c>
      <c r="B11" s="210">
        <f>SUM(C11:E11)</f>
        <v>1597</v>
      </c>
      <c r="C11" s="352">
        <f>1578-D11</f>
        <v>1572</v>
      </c>
      <c r="D11" s="353">
        <v>6</v>
      </c>
      <c r="E11" s="354">
        <v>19</v>
      </c>
      <c r="F11" s="246">
        <f t="shared" si="0"/>
        <v>1578</v>
      </c>
    </row>
    <row r="12" spans="1:8" s="77" customFormat="1" ht="15.75" x14ac:dyDescent="0.2">
      <c r="A12" s="245">
        <v>44461</v>
      </c>
      <c r="B12" s="210">
        <f>SUM(C12:E12)</f>
        <v>1123</v>
      </c>
      <c r="C12" s="352">
        <f>1111-5</f>
        <v>1106</v>
      </c>
      <c r="D12" s="353">
        <v>5</v>
      </c>
      <c r="E12" s="354">
        <v>12</v>
      </c>
      <c r="F12" s="246">
        <f t="shared" si="0"/>
        <v>1111</v>
      </c>
    </row>
    <row r="13" spans="1:8" s="77" customFormat="1" ht="15.75" x14ac:dyDescent="0.2">
      <c r="A13" s="245">
        <v>44462</v>
      </c>
      <c r="B13" s="210">
        <f>SUM(C13:E13)</f>
        <v>1038</v>
      </c>
      <c r="C13" s="352">
        <f>1029-5</f>
        <v>1024</v>
      </c>
      <c r="D13" s="353">
        <v>5</v>
      </c>
      <c r="E13" s="354">
        <v>9</v>
      </c>
      <c r="F13" s="246">
        <f t="shared" si="0"/>
        <v>1029</v>
      </c>
    </row>
    <row r="14" spans="1:8" s="77" customFormat="1" ht="15.75" x14ac:dyDescent="0.2">
      <c r="A14" s="245">
        <v>44463</v>
      </c>
      <c r="B14" s="210">
        <f>SUM(C14:E14)</f>
        <v>911</v>
      </c>
      <c r="C14" s="352">
        <f>901-D14</f>
        <v>895</v>
      </c>
      <c r="D14" s="353">
        <v>6</v>
      </c>
      <c r="E14" s="354">
        <v>10</v>
      </c>
      <c r="F14" s="246">
        <f t="shared" si="0"/>
        <v>901</v>
      </c>
    </row>
    <row r="15" spans="1:8" s="77" customFormat="1" ht="15.75" x14ac:dyDescent="0.2">
      <c r="A15" s="245">
        <v>44464</v>
      </c>
      <c r="B15" s="209"/>
      <c r="C15" s="349"/>
      <c r="D15" s="350"/>
      <c r="E15" s="351"/>
      <c r="F15" s="246">
        <f t="shared" si="0"/>
        <v>0</v>
      </c>
    </row>
    <row r="16" spans="1:8" s="77" customFormat="1" ht="15.75" x14ac:dyDescent="0.2">
      <c r="A16" s="245">
        <v>44465</v>
      </c>
      <c r="B16" s="209"/>
      <c r="C16" s="349"/>
      <c r="D16" s="350"/>
      <c r="E16" s="351"/>
      <c r="F16" s="246">
        <f t="shared" si="0"/>
        <v>0</v>
      </c>
    </row>
    <row r="17" spans="1:7" s="77" customFormat="1" ht="15.75" x14ac:dyDescent="0.2">
      <c r="A17" s="245">
        <v>44466</v>
      </c>
      <c r="B17" s="210">
        <f>SUM(C17:E17)</f>
        <v>2130</v>
      </c>
      <c r="C17" s="352">
        <v>2106</v>
      </c>
      <c r="D17" s="353">
        <v>11</v>
      </c>
      <c r="E17" s="354">
        <v>13</v>
      </c>
      <c r="F17" s="246">
        <f t="shared" si="0"/>
        <v>2117</v>
      </c>
    </row>
    <row r="18" spans="1:7" s="77" customFormat="1" ht="15.75" x14ac:dyDescent="0.2">
      <c r="A18" s="245">
        <v>44467</v>
      </c>
      <c r="B18" s="210">
        <f>SUM(C18:E18)</f>
        <v>1582</v>
      </c>
      <c r="C18" s="352">
        <f>1582-16</f>
        <v>1566</v>
      </c>
      <c r="D18" s="353">
        <v>16</v>
      </c>
      <c r="E18" s="354">
        <v>0</v>
      </c>
      <c r="F18" s="246">
        <f t="shared" si="0"/>
        <v>1582</v>
      </c>
    </row>
    <row r="19" spans="1:7" s="77" customFormat="1" ht="15.75" x14ac:dyDescent="0.2">
      <c r="A19" s="245">
        <v>44468</v>
      </c>
      <c r="B19" s="210">
        <f>SUM(C19:E19)</f>
        <v>1551</v>
      </c>
      <c r="C19" s="352">
        <f>(92-4)+(1438-9)</f>
        <v>1517</v>
      </c>
      <c r="D19" s="353">
        <f>9+4</f>
        <v>13</v>
      </c>
      <c r="E19" s="354">
        <v>21</v>
      </c>
      <c r="F19" s="488"/>
    </row>
    <row r="20" spans="1:7" s="77" customFormat="1" ht="15.75" x14ac:dyDescent="0.2">
      <c r="A20" s="245">
        <v>44469</v>
      </c>
      <c r="B20" s="210">
        <f>SUM(C20:E20)</f>
        <v>1189</v>
      </c>
      <c r="C20" s="352">
        <f>1189-8</f>
        <v>1181</v>
      </c>
      <c r="D20" s="353">
        <v>8</v>
      </c>
      <c r="E20" s="354">
        <v>0</v>
      </c>
      <c r="F20" s="246">
        <f t="shared" si="0"/>
        <v>1189</v>
      </c>
    </row>
    <row r="21" spans="1:7" s="77" customFormat="1" ht="15.75" x14ac:dyDescent="0.2">
      <c r="A21" s="245">
        <v>44470</v>
      </c>
      <c r="B21" s="210">
        <f>SUM(C21:E21)</f>
        <v>1063</v>
      </c>
      <c r="C21" s="352">
        <f>1059-12-22+1</f>
        <v>1026</v>
      </c>
      <c r="D21" s="353">
        <v>12</v>
      </c>
      <c r="E21" s="354">
        <v>25</v>
      </c>
      <c r="F21" s="246">
        <f t="shared" si="0"/>
        <v>1038</v>
      </c>
      <c r="G21" s="343"/>
    </row>
    <row r="22" spans="1:7" s="77" customFormat="1" ht="15.75" x14ac:dyDescent="0.2">
      <c r="A22" s="245">
        <v>44471</v>
      </c>
      <c r="B22" s="209"/>
      <c r="C22" s="349"/>
      <c r="D22" s="350"/>
      <c r="E22" s="351"/>
      <c r="F22" s="246">
        <f t="shared" si="0"/>
        <v>0</v>
      </c>
    </row>
    <row r="23" spans="1:7" s="77" customFormat="1" ht="15.75" x14ac:dyDescent="0.2">
      <c r="A23" s="245">
        <v>44472</v>
      </c>
      <c r="B23" s="208"/>
      <c r="C23" s="349"/>
      <c r="D23" s="350"/>
      <c r="E23" s="351"/>
      <c r="F23" s="246">
        <f t="shared" si="0"/>
        <v>0</v>
      </c>
    </row>
    <row r="24" spans="1:7" s="77" customFormat="1" ht="15.75" x14ac:dyDescent="0.2">
      <c r="A24" s="245">
        <v>44473</v>
      </c>
      <c r="B24" s="211">
        <f>SUM(C24:E24)</f>
        <v>2074</v>
      </c>
      <c r="C24" s="352">
        <f>2059-12-6+1</f>
        <v>2042</v>
      </c>
      <c r="D24" s="353">
        <v>12</v>
      </c>
      <c r="E24" s="354">
        <v>20</v>
      </c>
      <c r="F24" s="246">
        <f t="shared" si="0"/>
        <v>2054</v>
      </c>
    </row>
    <row r="25" spans="1:7" s="78" customFormat="1" ht="15.75" x14ac:dyDescent="0.2">
      <c r="A25" s="245">
        <v>44474</v>
      </c>
      <c r="B25" s="210">
        <f>SUM(C25:E25)</f>
        <v>1461</v>
      </c>
      <c r="C25" s="352">
        <f>1439-D25</f>
        <v>1428</v>
      </c>
      <c r="D25" s="353">
        <v>11</v>
      </c>
      <c r="E25" s="354">
        <v>22</v>
      </c>
      <c r="F25" s="246">
        <f t="shared" si="0"/>
        <v>1439</v>
      </c>
    </row>
    <row r="26" spans="1:7" s="77" customFormat="1" ht="15.75" x14ac:dyDescent="0.2">
      <c r="A26" s="245">
        <v>44475</v>
      </c>
      <c r="B26" s="210">
        <f>SUM(C26:E26)</f>
        <v>1314</v>
      </c>
      <c r="C26" s="352">
        <f>1414-5-115</f>
        <v>1294</v>
      </c>
      <c r="D26" s="353">
        <v>5</v>
      </c>
      <c r="E26" s="354">
        <v>15</v>
      </c>
      <c r="F26" s="246">
        <f t="shared" si="0"/>
        <v>1299</v>
      </c>
    </row>
    <row r="27" spans="1:7" s="77" customFormat="1" ht="15.75" x14ac:dyDescent="0.2">
      <c r="A27" s="245">
        <v>44476</v>
      </c>
      <c r="B27" s="210">
        <f>SUM(C27:E27)</f>
        <v>878</v>
      </c>
      <c r="C27" s="352">
        <f>868-3-D27</f>
        <v>861</v>
      </c>
      <c r="D27" s="353">
        <v>4</v>
      </c>
      <c r="E27" s="354">
        <v>13</v>
      </c>
      <c r="F27" s="246">
        <f t="shared" si="0"/>
        <v>865</v>
      </c>
    </row>
    <row r="28" spans="1:7" s="77" customFormat="1" ht="15.75" x14ac:dyDescent="0.2">
      <c r="A28" s="245">
        <v>44477</v>
      </c>
      <c r="B28" s="210">
        <f>SUM(C28:E28)</f>
        <v>553</v>
      </c>
      <c r="C28" s="352">
        <f>495-2-D28+53</f>
        <v>541</v>
      </c>
      <c r="D28" s="353">
        <v>5</v>
      </c>
      <c r="E28" s="354">
        <v>7</v>
      </c>
      <c r="F28" s="246">
        <f t="shared" si="0"/>
        <v>546</v>
      </c>
    </row>
    <row r="29" spans="1:7" s="77" customFormat="1" ht="15.75" x14ac:dyDescent="0.2">
      <c r="A29" s="245">
        <v>44478</v>
      </c>
      <c r="B29" s="209"/>
      <c r="C29" s="349"/>
      <c r="D29" s="350"/>
      <c r="E29" s="351"/>
      <c r="F29" s="246">
        <f t="shared" si="0"/>
        <v>0</v>
      </c>
    </row>
    <row r="30" spans="1:7" s="77" customFormat="1" ht="15.75" x14ac:dyDescent="0.2">
      <c r="A30" s="245">
        <v>44479</v>
      </c>
      <c r="B30" s="208"/>
      <c r="C30" s="349"/>
      <c r="D30" s="350"/>
      <c r="E30" s="351"/>
      <c r="F30" s="246">
        <f t="shared" si="0"/>
        <v>0</v>
      </c>
    </row>
    <row r="31" spans="1:7" s="77" customFormat="1" ht="15.75" x14ac:dyDescent="0.2">
      <c r="A31" s="245">
        <v>44480</v>
      </c>
      <c r="B31" s="210">
        <f>SUM(C31:E31)</f>
        <v>2033</v>
      </c>
      <c r="C31" s="352">
        <f>2020+2-D31-8</f>
        <v>2011</v>
      </c>
      <c r="D31" s="353">
        <v>3</v>
      </c>
      <c r="E31" s="354">
        <v>19</v>
      </c>
      <c r="F31" s="246">
        <f t="shared" si="0"/>
        <v>2014</v>
      </c>
    </row>
    <row r="32" spans="1:7" s="77" customFormat="1" ht="15.75" x14ac:dyDescent="0.2">
      <c r="A32" s="245">
        <v>44481</v>
      </c>
      <c r="B32" s="210">
        <f>SUM(C32:E32)</f>
        <v>2927</v>
      </c>
      <c r="C32" s="352">
        <f>2906+19-22-D32</f>
        <v>2881</v>
      </c>
      <c r="D32" s="353">
        <v>22</v>
      </c>
      <c r="E32" s="354">
        <v>24</v>
      </c>
      <c r="F32" s="246">
        <f t="shared" si="0"/>
        <v>2903</v>
      </c>
    </row>
    <row r="33" spans="1:6" s="77" customFormat="1" ht="15.75" x14ac:dyDescent="0.2">
      <c r="A33" s="245">
        <v>44482</v>
      </c>
      <c r="B33" s="210">
        <f>SUM(C33:E33)</f>
        <v>2326</v>
      </c>
      <c r="C33" s="343">
        <f>2288+2-D13</f>
        <v>2285</v>
      </c>
      <c r="D33" s="77">
        <v>15</v>
      </c>
      <c r="E33" s="504">
        <v>26</v>
      </c>
      <c r="F33" s="246">
        <f>SUM(C34:D34)</f>
        <v>1617</v>
      </c>
    </row>
    <row r="34" spans="1:6" s="77" customFormat="1" ht="15.75" x14ac:dyDescent="0.2">
      <c r="A34" s="245">
        <v>44483</v>
      </c>
      <c r="B34" s="210">
        <f>SUM(C34:E34)</f>
        <v>1628</v>
      </c>
      <c r="C34" s="352">
        <f>1617+1-11-D13</f>
        <v>1602</v>
      </c>
      <c r="D34" s="353">
        <v>15</v>
      </c>
      <c r="E34" s="354">
        <v>11</v>
      </c>
      <c r="F34" s="246" t="e">
        <f>SUM(#REF!)</f>
        <v>#REF!</v>
      </c>
    </row>
    <row r="35" spans="1:6" s="77" customFormat="1" ht="15.75" x14ac:dyDescent="0.2">
      <c r="A35" s="245">
        <v>44484</v>
      </c>
      <c r="B35" s="210">
        <f>SUM(C35:E35)</f>
        <v>1506</v>
      </c>
      <c r="C35" s="352">
        <f>1497+1-8-D35</f>
        <v>1482</v>
      </c>
      <c r="D35" s="353">
        <v>8</v>
      </c>
      <c r="E35" s="354">
        <v>16</v>
      </c>
      <c r="F35" s="246">
        <f t="shared" si="0"/>
        <v>1490</v>
      </c>
    </row>
    <row r="36" spans="1:6" s="77" customFormat="1" ht="15.75" x14ac:dyDescent="0.2">
      <c r="A36" s="245">
        <v>44485</v>
      </c>
      <c r="B36" s="208"/>
      <c r="C36" s="349"/>
      <c r="D36" s="350"/>
      <c r="E36" s="351"/>
      <c r="F36" s="246">
        <f t="shared" si="0"/>
        <v>0</v>
      </c>
    </row>
    <row r="37" spans="1:6" s="77" customFormat="1" ht="15.75" x14ac:dyDescent="0.2">
      <c r="A37" s="245">
        <v>44486</v>
      </c>
      <c r="B37" s="208"/>
      <c r="C37" s="349"/>
      <c r="D37" s="350"/>
      <c r="E37" s="351"/>
      <c r="F37" s="246">
        <f t="shared" si="0"/>
        <v>0</v>
      </c>
    </row>
    <row r="38" spans="1:6" s="77" customFormat="1" ht="15.75" x14ac:dyDescent="0.2">
      <c r="A38" s="245">
        <v>44487</v>
      </c>
      <c r="B38" s="210">
        <f>SUM(C38:E38)</f>
        <v>2361</v>
      </c>
      <c r="C38" s="352">
        <f>2362-18-D38</f>
        <v>2339</v>
      </c>
      <c r="D38" s="353">
        <v>5</v>
      </c>
      <c r="E38" s="354">
        <v>17</v>
      </c>
      <c r="F38" s="246">
        <f t="shared" si="0"/>
        <v>2344</v>
      </c>
    </row>
    <row r="39" spans="1:6" s="77" customFormat="1" ht="15.75" x14ac:dyDescent="0.2">
      <c r="A39" s="245">
        <v>44488</v>
      </c>
      <c r="B39" s="210">
        <f>SUM(C39:E39)</f>
        <v>2331</v>
      </c>
      <c r="C39" s="352">
        <f>2335-D39-42</f>
        <v>2282</v>
      </c>
      <c r="D39" s="353">
        <v>11</v>
      </c>
      <c r="E39" s="354">
        <v>38</v>
      </c>
      <c r="F39" s="246">
        <f t="shared" si="0"/>
        <v>2293</v>
      </c>
    </row>
    <row r="40" spans="1:6" s="77" customFormat="1" ht="15.75" x14ac:dyDescent="0.2">
      <c r="A40" s="245">
        <v>44489</v>
      </c>
      <c r="B40" s="210">
        <f>SUM(C40:E40)</f>
        <v>1391</v>
      </c>
      <c r="C40" s="352">
        <f>1367+18-15-D20</f>
        <v>1362</v>
      </c>
      <c r="D40" s="353">
        <v>9</v>
      </c>
      <c r="E40" s="354">
        <v>20</v>
      </c>
      <c r="F40" s="246">
        <f t="shared" si="0"/>
        <v>1371</v>
      </c>
    </row>
    <row r="41" spans="1:6" s="77" customFormat="1" ht="15.75" x14ac:dyDescent="0.2">
      <c r="A41" s="245">
        <v>44490</v>
      </c>
      <c r="B41" s="210">
        <f>SUM(C41:E41)</f>
        <v>1506</v>
      </c>
      <c r="C41" s="352">
        <f>1503-18-D41</f>
        <v>1484</v>
      </c>
      <c r="D41" s="353">
        <v>1</v>
      </c>
      <c r="E41" s="354">
        <v>21</v>
      </c>
      <c r="F41" s="246">
        <f t="shared" si="0"/>
        <v>1485</v>
      </c>
    </row>
    <row r="42" spans="1:6" s="77" customFormat="1" ht="15.75" x14ac:dyDescent="0.2">
      <c r="A42" s="245">
        <v>44491</v>
      </c>
      <c r="B42" s="210">
        <f>SUM(C42:E42)</f>
        <v>1994</v>
      </c>
      <c r="C42" s="352">
        <f>1956-D42-13+31</f>
        <v>1963</v>
      </c>
      <c r="D42" s="353">
        <v>11</v>
      </c>
      <c r="E42" s="354">
        <v>20</v>
      </c>
      <c r="F42" s="246">
        <f t="shared" si="0"/>
        <v>1974</v>
      </c>
    </row>
    <row r="43" spans="1:6" s="77" customFormat="1" ht="15.75" x14ac:dyDescent="0.2">
      <c r="A43" s="245">
        <v>44492</v>
      </c>
      <c r="B43" s="208"/>
      <c r="C43" s="349"/>
      <c r="D43" s="350"/>
      <c r="E43" s="351"/>
      <c r="F43" s="246">
        <f t="shared" si="0"/>
        <v>0</v>
      </c>
    </row>
    <row r="44" spans="1:6" s="77" customFormat="1" ht="15.75" x14ac:dyDescent="0.2">
      <c r="A44" s="245">
        <v>44493</v>
      </c>
      <c r="B44" s="208"/>
      <c r="C44" s="349"/>
      <c r="D44" s="350"/>
      <c r="E44" s="351"/>
      <c r="F44" s="246">
        <f t="shared" si="0"/>
        <v>0</v>
      </c>
    </row>
    <row r="45" spans="1:6" s="77" customFormat="1" ht="15.75" x14ac:dyDescent="0.2">
      <c r="A45" s="245">
        <v>44494</v>
      </c>
      <c r="B45" s="210">
        <f>SUM(C45:E45)</f>
        <v>623</v>
      </c>
      <c r="C45" s="352">
        <f>639-18-D45</f>
        <v>618</v>
      </c>
      <c r="D45" s="353">
        <v>3</v>
      </c>
      <c r="E45" s="354">
        <v>2</v>
      </c>
      <c r="F45" s="246">
        <f t="shared" si="0"/>
        <v>621</v>
      </c>
    </row>
    <row r="46" spans="1:6" s="77" customFormat="1" ht="15.75" x14ac:dyDescent="0.2">
      <c r="A46" s="245">
        <v>44495</v>
      </c>
      <c r="B46" s="210">
        <f>SUM(C46:E46)</f>
        <v>0</v>
      </c>
      <c r="C46" s="352">
        <v>0</v>
      </c>
      <c r="D46" s="353">
        <v>0</v>
      </c>
      <c r="E46" s="354">
        <v>0</v>
      </c>
      <c r="F46" s="246">
        <f t="shared" si="0"/>
        <v>0</v>
      </c>
    </row>
    <row r="47" spans="1:6" s="77" customFormat="1" ht="15.75" x14ac:dyDescent="0.2">
      <c r="A47" s="245">
        <v>44496</v>
      </c>
      <c r="B47" s="210">
        <f t="shared" ref="B47:B48" si="1">SUM(C47:E47)</f>
        <v>2</v>
      </c>
      <c r="C47" s="352">
        <v>2</v>
      </c>
      <c r="D47" s="353">
        <v>0</v>
      </c>
      <c r="E47" s="354">
        <v>0</v>
      </c>
      <c r="F47" s="268" t="s">
        <v>145</v>
      </c>
    </row>
    <row r="48" spans="1:6" s="77" customFormat="1" ht="15.75" x14ac:dyDescent="0.2">
      <c r="A48" s="245">
        <v>44497</v>
      </c>
      <c r="B48" s="210">
        <f t="shared" si="1"/>
        <v>1</v>
      </c>
      <c r="C48" s="352">
        <v>1</v>
      </c>
      <c r="D48" s="353">
        <v>0</v>
      </c>
      <c r="E48" s="354">
        <v>0</v>
      </c>
      <c r="F48" s="246">
        <f t="shared" si="0"/>
        <v>1</v>
      </c>
    </row>
    <row r="49" spans="1:6" s="77" customFormat="1" ht="15.75" x14ac:dyDescent="0.2">
      <c r="A49" s="245">
        <v>44498</v>
      </c>
      <c r="B49" s="210">
        <f>SUM(C49:E49)</f>
        <v>2</v>
      </c>
      <c r="C49" s="352">
        <v>2</v>
      </c>
      <c r="D49" s="353">
        <v>0</v>
      </c>
      <c r="E49" s="354">
        <v>0</v>
      </c>
      <c r="F49" s="246">
        <f t="shared" si="0"/>
        <v>2</v>
      </c>
    </row>
    <row r="50" spans="1:6" s="77" customFormat="1" ht="15.75" x14ac:dyDescent="0.2">
      <c r="A50" s="245">
        <v>44499</v>
      </c>
      <c r="B50" s="210">
        <f>SUM(C50:E50)</f>
        <v>3</v>
      </c>
      <c r="C50" s="352">
        <v>3</v>
      </c>
      <c r="D50" s="353">
        <v>0</v>
      </c>
      <c r="E50" s="354">
        <v>0</v>
      </c>
      <c r="F50" s="246">
        <f t="shared" si="0"/>
        <v>3</v>
      </c>
    </row>
    <row r="51" spans="1:6" s="77" customFormat="1" ht="15.75" x14ac:dyDescent="0.2">
      <c r="A51" s="245">
        <v>44500</v>
      </c>
      <c r="B51" s="209"/>
      <c r="C51" s="349"/>
      <c r="D51" s="350"/>
      <c r="E51" s="351"/>
      <c r="F51" s="246">
        <f t="shared" si="0"/>
        <v>0</v>
      </c>
    </row>
    <row r="52" spans="1:6" s="77" customFormat="1" ht="15.75" x14ac:dyDescent="0.2">
      <c r="A52" s="548">
        <v>44501</v>
      </c>
      <c r="B52" s="549">
        <f>SUM(C52:E52)</f>
        <v>12</v>
      </c>
      <c r="C52" s="550">
        <v>12</v>
      </c>
      <c r="D52" s="551">
        <v>0</v>
      </c>
      <c r="E52" s="552">
        <v>0</v>
      </c>
    </row>
    <row r="53" spans="1:6" s="77" customFormat="1" x14ac:dyDescent="0.2">
      <c r="F53" s="246">
        <f>SUM(C6:D6)</f>
        <v>77301</v>
      </c>
    </row>
    <row r="54" spans="1:6" x14ac:dyDescent="0.2">
      <c r="C54" s="268"/>
      <c r="D54" s="268"/>
      <c r="E54" s="268"/>
    </row>
    <row r="55" spans="1:6" x14ac:dyDescent="0.2">
      <c r="D55" s="246">
        <f>SUM(C6:D6)</f>
        <v>77301</v>
      </c>
    </row>
  </sheetData>
  <sheetProtection algorithmName="SHA-512" hashValue="LyeRBEDK1ZSrRcMPwobCiUeMk0VAQqaNawdvYw6DKyBBHXGRBcKNlIf/dSt75L4xf7LhjXQhZTFeWnwze3e8Mg==" saltValue="eFtcg5LiHCKJFgRgchltrQ==" spinCount="100000" sheet="1" objects="1" scenarios="1"/>
  <mergeCells count="3">
    <mergeCell ref="A1:E1"/>
    <mergeCell ref="A2:E2"/>
    <mergeCell ref="A4:E4"/>
  </mergeCells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18DA6-514F-4B88-B687-B1570668A504}">
  <dimension ref="A1:BR56"/>
  <sheetViews>
    <sheetView workbookViewId="0">
      <selection sqref="A1:F3"/>
    </sheetView>
  </sheetViews>
  <sheetFormatPr defaultRowHeight="14.25" x14ac:dyDescent="0.2"/>
  <cols>
    <col min="1" max="1" width="11.75" customWidth="1"/>
    <col min="2" max="6" width="9.625" customWidth="1"/>
    <col min="7" max="10" width="7.625" customWidth="1"/>
    <col min="11" max="11" width="7.625" style="37" customWidth="1"/>
    <col min="12" max="13" width="7.625" customWidth="1"/>
    <col min="14" max="14" width="9.625" customWidth="1"/>
    <col min="15" max="21" width="7.625" customWidth="1"/>
    <col min="22" max="22" width="9.625" customWidth="1"/>
    <col min="23" max="29" width="7.625" customWidth="1"/>
    <col min="30" max="30" width="9.625" customWidth="1"/>
    <col min="31" max="37" width="7.625" customWidth="1"/>
    <col min="38" max="38" width="9.625" customWidth="1"/>
    <col min="39" max="45" width="7.625" customWidth="1"/>
    <col min="47" max="53" width="7.625" customWidth="1"/>
    <col min="55" max="61" width="7.625" customWidth="1"/>
    <col min="63" max="69" width="7.625" customWidth="1"/>
  </cols>
  <sheetData>
    <row r="1" spans="1:70" x14ac:dyDescent="0.2">
      <c r="A1" s="572" t="s">
        <v>12</v>
      </c>
      <c r="B1" s="572"/>
      <c r="C1" s="572"/>
      <c r="D1" s="572"/>
      <c r="E1" s="572"/>
      <c r="F1" s="572"/>
    </row>
    <row r="2" spans="1:70" x14ac:dyDescent="0.2">
      <c r="A2" s="572"/>
      <c r="B2" s="572"/>
      <c r="C2" s="572"/>
      <c r="D2" s="572"/>
      <c r="E2" s="572"/>
      <c r="F2" s="572"/>
    </row>
    <row r="3" spans="1:70" ht="18" x14ac:dyDescent="0.25">
      <c r="A3" s="573" t="s">
        <v>10</v>
      </c>
      <c r="B3" s="573"/>
      <c r="C3" s="573"/>
      <c r="D3" s="573"/>
      <c r="E3" s="573"/>
      <c r="F3" s="573"/>
      <c r="G3" s="42" t="s">
        <v>11</v>
      </c>
      <c r="H3" s="43">
        <f>F54</f>
        <v>38810</v>
      </c>
    </row>
    <row r="4" spans="1:70" ht="18" x14ac:dyDescent="0.25">
      <c r="A4" s="2"/>
      <c r="B4" s="2"/>
      <c r="C4" s="2"/>
      <c r="D4" s="2"/>
      <c r="E4" s="2"/>
      <c r="F4" s="2"/>
    </row>
    <row r="5" spans="1:70" s="1" customFormat="1" ht="23.25" x14ac:dyDescent="0.2">
      <c r="A5" s="3"/>
      <c r="B5" s="574" t="s">
        <v>13</v>
      </c>
      <c r="C5" s="574"/>
      <c r="D5" s="574"/>
      <c r="E5" s="574"/>
      <c r="F5" s="574"/>
      <c r="G5" s="575" t="s">
        <v>15</v>
      </c>
      <c r="H5" s="576"/>
      <c r="I5" s="576"/>
      <c r="J5" s="576"/>
      <c r="K5" s="576"/>
      <c r="L5" s="576"/>
      <c r="M5" s="576"/>
      <c r="N5" s="576"/>
      <c r="O5" s="575" t="s">
        <v>15</v>
      </c>
      <c r="P5" s="576"/>
      <c r="Q5" s="576"/>
      <c r="R5" s="576"/>
      <c r="S5" s="576"/>
      <c r="T5" s="576"/>
      <c r="U5" s="576"/>
      <c r="V5" s="576"/>
      <c r="W5" s="575" t="s">
        <v>15</v>
      </c>
      <c r="X5" s="576"/>
      <c r="Y5" s="576"/>
      <c r="Z5" s="576"/>
      <c r="AA5" s="576"/>
      <c r="AB5" s="576"/>
      <c r="AC5" s="576"/>
      <c r="AD5" s="576"/>
      <c r="AE5" s="575" t="s">
        <v>15</v>
      </c>
      <c r="AF5" s="576"/>
      <c r="AG5" s="576"/>
      <c r="AH5" s="576"/>
      <c r="AI5" s="576"/>
      <c r="AJ5" s="576"/>
      <c r="AK5" s="576"/>
      <c r="AL5" s="576"/>
      <c r="AM5" s="575" t="s">
        <v>15</v>
      </c>
      <c r="AN5" s="576"/>
      <c r="AO5" s="576"/>
      <c r="AP5" s="576"/>
      <c r="AQ5" s="576"/>
      <c r="AR5" s="576"/>
      <c r="AS5" s="576"/>
      <c r="AT5" s="576"/>
      <c r="AU5" s="575" t="s">
        <v>15</v>
      </c>
      <c r="AV5" s="576"/>
      <c r="AW5" s="576"/>
      <c r="AX5" s="576"/>
      <c r="AY5" s="576"/>
      <c r="AZ5" s="576"/>
      <c r="BA5" s="576"/>
      <c r="BB5" s="576"/>
      <c r="BC5" s="575" t="s">
        <v>15</v>
      </c>
      <c r="BD5" s="576"/>
      <c r="BE5" s="576"/>
      <c r="BF5" s="576"/>
      <c r="BG5" s="576"/>
      <c r="BH5" s="576"/>
      <c r="BI5" s="576"/>
      <c r="BJ5" s="576"/>
      <c r="BK5" s="575" t="s">
        <v>15</v>
      </c>
      <c r="BL5" s="576"/>
      <c r="BM5" s="576"/>
      <c r="BN5" s="576"/>
      <c r="BO5" s="576"/>
      <c r="BP5" s="576"/>
      <c r="BQ5" s="576"/>
      <c r="BR5" s="576"/>
    </row>
    <row r="6" spans="1:70" ht="30.75" thickBot="1" x14ac:dyDescent="0.25">
      <c r="A6" s="4" t="s">
        <v>5</v>
      </c>
      <c r="B6" s="5" t="s">
        <v>6</v>
      </c>
      <c r="C6" s="6" t="s">
        <v>7</v>
      </c>
      <c r="D6" s="7" t="s">
        <v>8</v>
      </c>
      <c r="E6" s="6" t="s">
        <v>9</v>
      </c>
      <c r="F6" s="44" t="s">
        <v>1</v>
      </c>
      <c r="G6" s="64">
        <v>34</v>
      </c>
      <c r="H6" s="65">
        <v>36</v>
      </c>
      <c r="I6" s="65">
        <v>38</v>
      </c>
      <c r="J6" s="65">
        <v>45</v>
      </c>
      <c r="K6" s="65">
        <v>49</v>
      </c>
      <c r="L6" s="65">
        <v>86</v>
      </c>
      <c r="M6" s="66" t="s">
        <v>14</v>
      </c>
      <c r="N6" s="67" t="s">
        <v>1</v>
      </c>
      <c r="O6" s="64">
        <v>34</v>
      </c>
      <c r="P6" s="65">
        <v>36</v>
      </c>
      <c r="Q6" s="65">
        <v>38</v>
      </c>
      <c r="R6" s="65">
        <v>45</v>
      </c>
      <c r="S6" s="65">
        <v>49</v>
      </c>
      <c r="T6" s="65">
        <v>86</v>
      </c>
      <c r="U6" s="66" t="s">
        <v>14</v>
      </c>
      <c r="V6" s="67" t="s">
        <v>1</v>
      </c>
      <c r="W6" s="64">
        <v>34</v>
      </c>
      <c r="X6" s="65">
        <v>36</v>
      </c>
      <c r="Y6" s="65">
        <v>38</v>
      </c>
      <c r="Z6" s="65">
        <v>45</v>
      </c>
      <c r="AA6" s="65">
        <v>49</v>
      </c>
      <c r="AB6" s="65">
        <v>86</v>
      </c>
      <c r="AC6" s="66" t="s">
        <v>14</v>
      </c>
      <c r="AD6" s="67" t="s">
        <v>1</v>
      </c>
      <c r="AE6" s="64">
        <v>34</v>
      </c>
      <c r="AF6" s="65">
        <v>36</v>
      </c>
      <c r="AG6" s="65">
        <v>38</v>
      </c>
      <c r="AH6" s="65">
        <v>45</v>
      </c>
      <c r="AI6" s="65">
        <v>49</v>
      </c>
      <c r="AJ6" s="65">
        <v>86</v>
      </c>
      <c r="AK6" s="66" t="s">
        <v>14</v>
      </c>
      <c r="AL6" s="67" t="s">
        <v>1</v>
      </c>
      <c r="AM6" s="64">
        <v>34</v>
      </c>
      <c r="AN6" s="65">
        <v>36</v>
      </c>
      <c r="AO6" s="65">
        <v>38</v>
      </c>
      <c r="AP6" s="65">
        <v>45</v>
      </c>
      <c r="AQ6" s="65">
        <v>49</v>
      </c>
      <c r="AR6" s="65">
        <v>86</v>
      </c>
      <c r="AS6" s="66" t="s">
        <v>14</v>
      </c>
      <c r="AT6" s="67" t="s">
        <v>1</v>
      </c>
      <c r="AU6" s="64">
        <v>34</v>
      </c>
      <c r="AV6" s="65">
        <v>36</v>
      </c>
      <c r="AW6" s="65">
        <v>38</v>
      </c>
      <c r="AX6" s="65">
        <v>45</v>
      </c>
      <c r="AY6" s="65">
        <v>49</v>
      </c>
      <c r="AZ6" s="65">
        <v>86</v>
      </c>
      <c r="BA6" s="66" t="s">
        <v>14</v>
      </c>
      <c r="BB6" s="67" t="s">
        <v>1</v>
      </c>
      <c r="BC6" s="64">
        <v>34</v>
      </c>
      <c r="BD6" s="65">
        <v>36</v>
      </c>
      <c r="BE6" s="65">
        <v>38</v>
      </c>
      <c r="BF6" s="65">
        <v>45</v>
      </c>
      <c r="BG6" s="65">
        <v>49</v>
      </c>
      <c r="BH6" s="65">
        <v>86</v>
      </c>
      <c r="BI6" s="66" t="s">
        <v>14</v>
      </c>
      <c r="BJ6" s="67" t="s">
        <v>1</v>
      </c>
      <c r="BK6" s="64">
        <v>34</v>
      </c>
      <c r="BL6" s="65">
        <v>36</v>
      </c>
      <c r="BM6" s="65">
        <v>38</v>
      </c>
      <c r="BN6" s="65">
        <v>45</v>
      </c>
      <c r="BO6" s="65">
        <v>49</v>
      </c>
      <c r="BP6" s="65">
        <v>86</v>
      </c>
      <c r="BQ6" s="66" t="s">
        <v>14</v>
      </c>
      <c r="BR6" s="67" t="s">
        <v>1</v>
      </c>
    </row>
    <row r="7" spans="1:70" ht="15" x14ac:dyDescent="0.2">
      <c r="A7" s="31">
        <v>44309</v>
      </c>
      <c r="B7" s="8">
        <v>4232</v>
      </c>
      <c r="C7" s="9">
        <v>234</v>
      </c>
      <c r="D7" s="9">
        <v>648</v>
      </c>
      <c r="E7" s="9">
        <v>0</v>
      </c>
      <c r="F7" s="10">
        <f>SUM(B7:E7)</f>
        <v>5114</v>
      </c>
      <c r="G7" s="8"/>
      <c r="H7" s="9"/>
      <c r="I7" s="9"/>
      <c r="J7" s="9"/>
      <c r="K7" s="52"/>
      <c r="L7" s="54"/>
      <c r="M7" s="9"/>
      <c r="N7" s="45">
        <f>SUM(L7:M7)</f>
        <v>0</v>
      </c>
      <c r="O7" s="8"/>
      <c r="P7" s="9"/>
      <c r="Q7" s="9"/>
      <c r="R7" s="9"/>
      <c r="S7" s="52"/>
      <c r="T7" s="54"/>
      <c r="U7" s="9"/>
      <c r="V7" s="45">
        <f>SUM(T7:U7)</f>
        <v>0</v>
      </c>
      <c r="W7" s="8"/>
      <c r="X7" s="9"/>
      <c r="Y7" s="9"/>
      <c r="Z7" s="9"/>
      <c r="AA7" s="52"/>
      <c r="AB7" s="54"/>
      <c r="AC7" s="9"/>
      <c r="AD7" s="45">
        <f>SUM(AB7:AC7)</f>
        <v>0</v>
      </c>
      <c r="AE7" s="8"/>
      <c r="AF7" s="9"/>
      <c r="AG7" s="9"/>
      <c r="AH7" s="9"/>
      <c r="AI7" s="52"/>
      <c r="AJ7" s="54"/>
      <c r="AK7" s="9"/>
      <c r="AL7" s="45">
        <f>SUM(AJ7:AK7)</f>
        <v>0</v>
      </c>
      <c r="AM7" s="8"/>
      <c r="AN7" s="9"/>
      <c r="AO7" s="9"/>
      <c r="AP7" s="9"/>
      <c r="AQ7" s="52"/>
      <c r="AR7" s="54"/>
      <c r="AS7" s="9"/>
      <c r="AT7" s="45">
        <f>SUM(AR7:AS7)</f>
        <v>0</v>
      </c>
      <c r="AU7" s="8"/>
      <c r="AV7" s="9"/>
      <c r="AW7" s="9"/>
      <c r="AX7" s="9"/>
      <c r="AY7" s="52"/>
      <c r="AZ7" s="54"/>
      <c r="BA7" s="9"/>
      <c r="BB7" s="45">
        <f>SUM(AZ7:BA7)</f>
        <v>0</v>
      </c>
      <c r="BC7" s="8"/>
      <c r="BD7" s="9"/>
      <c r="BE7" s="9"/>
      <c r="BF7" s="9"/>
      <c r="BG7" s="52"/>
      <c r="BH7" s="54"/>
      <c r="BI7" s="9"/>
      <c r="BJ7" s="45">
        <f>SUM(BH7:BI7)</f>
        <v>0</v>
      </c>
      <c r="BK7" s="8"/>
      <c r="BL7" s="9"/>
      <c r="BM7" s="9"/>
      <c r="BN7" s="9"/>
      <c r="BO7" s="52"/>
      <c r="BP7" s="54"/>
      <c r="BQ7" s="9"/>
      <c r="BR7" s="45">
        <f>SUM(BP7:BQ7)</f>
        <v>0</v>
      </c>
    </row>
    <row r="8" spans="1:70" ht="15" x14ac:dyDescent="0.25">
      <c r="A8" s="32">
        <v>44310</v>
      </c>
      <c r="F8" s="39">
        <f>SUM(B8:E8)</f>
        <v>0</v>
      </c>
      <c r="G8" s="38"/>
      <c r="K8" s="51"/>
      <c r="L8" s="55"/>
      <c r="N8" s="39">
        <f>SUM(L8:M8)</f>
        <v>0</v>
      </c>
      <c r="O8" s="38"/>
      <c r="S8" s="51"/>
      <c r="T8" s="55"/>
      <c r="V8" s="39">
        <f>SUM(T8:U8)</f>
        <v>0</v>
      </c>
      <c r="W8" s="38"/>
      <c r="AA8" s="51"/>
      <c r="AB8" s="55"/>
      <c r="AD8" s="39">
        <f>SUM(AB8:AC8)</f>
        <v>0</v>
      </c>
      <c r="AE8" s="38"/>
      <c r="AI8" s="51"/>
      <c r="AJ8" s="55"/>
      <c r="AL8" s="39">
        <f>SUM(AJ8:AK8)</f>
        <v>0</v>
      </c>
      <c r="AM8" s="38"/>
      <c r="AQ8" s="51"/>
      <c r="AR8" s="55"/>
      <c r="AT8" s="39">
        <f>SUM(AR8:AS8)</f>
        <v>0</v>
      </c>
      <c r="AU8" s="38"/>
      <c r="AY8" s="51"/>
      <c r="AZ8" s="55"/>
      <c r="BB8" s="39">
        <f>SUM(AZ8:BA8)</f>
        <v>0</v>
      </c>
      <c r="BC8" s="38"/>
      <c r="BG8" s="51"/>
      <c r="BH8" s="55"/>
      <c r="BJ8" s="39">
        <f>SUM(BH8:BI8)</f>
        <v>0</v>
      </c>
      <c r="BK8" s="38"/>
      <c r="BO8" s="51"/>
      <c r="BP8" s="55"/>
      <c r="BR8" s="39">
        <f>SUM(BP8:BQ8)</f>
        <v>0</v>
      </c>
    </row>
    <row r="9" spans="1:70" ht="15" x14ac:dyDescent="0.2">
      <c r="A9" s="34">
        <v>44311</v>
      </c>
      <c r="B9" s="11"/>
      <c r="C9" s="12"/>
      <c r="D9" s="12"/>
      <c r="E9" s="12"/>
      <c r="F9" s="13"/>
      <c r="G9" s="11"/>
      <c r="H9" s="12"/>
      <c r="I9" s="12"/>
      <c r="J9" s="12"/>
      <c r="K9" s="12"/>
      <c r="L9" s="56"/>
      <c r="M9" s="12"/>
      <c r="N9" s="12"/>
      <c r="O9" s="11"/>
      <c r="P9" s="12"/>
      <c r="Q9" s="12"/>
      <c r="R9" s="12"/>
      <c r="S9" s="12"/>
      <c r="T9" s="56"/>
      <c r="U9" s="12"/>
      <c r="V9" s="12"/>
      <c r="W9" s="11"/>
      <c r="X9" s="12"/>
      <c r="Y9" s="12"/>
      <c r="Z9" s="12"/>
      <c r="AA9" s="12"/>
      <c r="AB9" s="56"/>
      <c r="AC9" s="12"/>
      <c r="AD9" s="12"/>
      <c r="AE9" s="11"/>
      <c r="AF9" s="12"/>
      <c r="AG9" s="12"/>
      <c r="AH9" s="12"/>
      <c r="AI9" s="12"/>
      <c r="AJ9" s="56"/>
      <c r="AK9" s="12"/>
      <c r="AL9" s="12"/>
      <c r="AM9" s="11"/>
      <c r="AN9" s="12"/>
      <c r="AO9" s="12"/>
      <c r="AP9" s="12"/>
      <c r="AQ9" s="12"/>
      <c r="AR9" s="56"/>
      <c r="AS9" s="12"/>
      <c r="AT9" s="12"/>
      <c r="AU9" s="11"/>
      <c r="AV9" s="12"/>
      <c r="AW9" s="12"/>
      <c r="AX9" s="12"/>
      <c r="AY9" s="12"/>
      <c r="AZ9" s="56"/>
      <c r="BA9" s="12"/>
      <c r="BB9" s="12"/>
      <c r="BC9" s="11"/>
      <c r="BD9" s="12"/>
      <c r="BE9" s="12"/>
      <c r="BF9" s="12"/>
      <c r="BG9" s="12"/>
      <c r="BH9" s="56"/>
      <c r="BI9" s="12"/>
      <c r="BJ9" s="12"/>
      <c r="BK9" s="11"/>
      <c r="BL9" s="12"/>
      <c r="BM9" s="12"/>
      <c r="BN9" s="12"/>
      <c r="BO9" s="12"/>
      <c r="BP9" s="56"/>
      <c r="BQ9" s="12"/>
      <c r="BR9" s="12"/>
    </row>
    <row r="10" spans="1:70" ht="15" x14ac:dyDescent="0.2">
      <c r="A10" s="34">
        <v>44312</v>
      </c>
      <c r="B10" s="14"/>
      <c r="C10" s="15"/>
      <c r="D10" s="15"/>
      <c r="E10" s="15"/>
      <c r="F10" s="16"/>
      <c r="G10" s="14"/>
      <c r="H10" s="15"/>
      <c r="I10" s="15"/>
      <c r="J10" s="15"/>
      <c r="K10" s="15"/>
      <c r="L10" s="57"/>
      <c r="M10" s="15"/>
      <c r="N10" s="15"/>
      <c r="O10" s="14"/>
      <c r="P10" s="15"/>
      <c r="Q10" s="15"/>
      <c r="R10" s="15"/>
      <c r="S10" s="15"/>
      <c r="T10" s="57"/>
      <c r="U10" s="15"/>
      <c r="V10" s="15"/>
      <c r="W10" s="14"/>
      <c r="X10" s="15"/>
      <c r="Y10" s="15"/>
      <c r="Z10" s="15"/>
      <c r="AA10" s="15"/>
      <c r="AB10" s="57"/>
      <c r="AC10" s="15"/>
      <c r="AD10" s="15"/>
      <c r="AE10" s="14"/>
      <c r="AF10" s="15"/>
      <c r="AG10" s="15"/>
      <c r="AH10" s="15"/>
      <c r="AI10" s="15"/>
      <c r="AJ10" s="57"/>
      <c r="AK10" s="15"/>
      <c r="AL10" s="15"/>
      <c r="AM10" s="14"/>
      <c r="AN10" s="15"/>
      <c r="AO10" s="15"/>
      <c r="AP10" s="15"/>
      <c r="AQ10" s="15"/>
      <c r="AR10" s="57"/>
      <c r="AS10" s="15"/>
      <c r="AT10" s="15"/>
      <c r="AU10" s="14"/>
      <c r="AV10" s="15"/>
      <c r="AW10" s="15"/>
      <c r="AX10" s="15"/>
      <c r="AY10" s="15"/>
      <c r="AZ10" s="57"/>
      <c r="BA10" s="15"/>
      <c r="BB10" s="15"/>
      <c r="BC10" s="14"/>
      <c r="BD10" s="15"/>
      <c r="BE10" s="15"/>
      <c r="BF10" s="15"/>
      <c r="BG10" s="15"/>
      <c r="BH10" s="57"/>
      <c r="BI10" s="15"/>
      <c r="BJ10" s="15"/>
      <c r="BK10" s="14"/>
      <c r="BL10" s="15"/>
      <c r="BM10" s="15"/>
      <c r="BN10" s="15"/>
      <c r="BO10" s="15"/>
      <c r="BP10" s="57"/>
      <c r="BQ10" s="15"/>
      <c r="BR10" s="15"/>
    </row>
    <row r="11" spans="1:70" ht="15" x14ac:dyDescent="0.2">
      <c r="A11" s="32">
        <v>44313</v>
      </c>
      <c r="B11" s="17">
        <v>481</v>
      </c>
      <c r="C11" s="18">
        <v>0</v>
      </c>
      <c r="D11" s="18">
        <v>1</v>
      </c>
      <c r="E11" s="18">
        <v>0</v>
      </c>
      <c r="F11" s="19">
        <f t="shared" ref="F11:F21" si="0">SUM(B11:E11)</f>
        <v>482</v>
      </c>
      <c r="G11" s="17"/>
      <c r="H11" s="18"/>
      <c r="I11" s="18"/>
      <c r="J11" s="18"/>
      <c r="K11" s="18"/>
      <c r="L11" s="58"/>
      <c r="M11" s="18"/>
      <c r="N11" s="46">
        <f>SUM(L11:M11)</f>
        <v>0</v>
      </c>
      <c r="O11" s="17"/>
      <c r="P11" s="18"/>
      <c r="Q11" s="18"/>
      <c r="R11" s="18"/>
      <c r="S11" s="18"/>
      <c r="T11" s="58"/>
      <c r="U11" s="18"/>
      <c r="V11" s="46">
        <f>SUM(T11:U11)</f>
        <v>0</v>
      </c>
      <c r="W11" s="17"/>
      <c r="X11" s="18"/>
      <c r="Y11" s="18"/>
      <c r="Z11" s="18"/>
      <c r="AA11" s="18"/>
      <c r="AB11" s="58"/>
      <c r="AC11" s="18"/>
      <c r="AD11" s="46">
        <f>SUM(AB11:AC11)</f>
        <v>0</v>
      </c>
      <c r="AE11" s="17"/>
      <c r="AF11" s="18"/>
      <c r="AG11" s="18"/>
      <c r="AH11" s="18"/>
      <c r="AI11" s="18"/>
      <c r="AJ11" s="58"/>
      <c r="AK11" s="18"/>
      <c r="AL11" s="46">
        <f>SUM(AJ11:AK11)</f>
        <v>0</v>
      </c>
      <c r="AM11" s="17"/>
      <c r="AN11" s="18"/>
      <c r="AO11" s="18"/>
      <c r="AP11" s="18"/>
      <c r="AQ11" s="18"/>
      <c r="AR11" s="58"/>
      <c r="AS11" s="18"/>
      <c r="AT11" s="46">
        <f>SUM(AR11:AS11)</f>
        <v>0</v>
      </c>
      <c r="AU11" s="17"/>
      <c r="AV11" s="18"/>
      <c r="AW11" s="18"/>
      <c r="AX11" s="18"/>
      <c r="AY11" s="18"/>
      <c r="AZ11" s="58"/>
      <c r="BA11" s="18"/>
      <c r="BB11" s="46">
        <f>SUM(AZ11:BA11)</f>
        <v>0</v>
      </c>
      <c r="BC11" s="17"/>
      <c r="BD11" s="18"/>
      <c r="BE11" s="18"/>
      <c r="BF11" s="18"/>
      <c r="BG11" s="18"/>
      <c r="BH11" s="58"/>
      <c r="BI11" s="18"/>
      <c r="BJ11" s="46">
        <f>SUM(BH11:BI11)</f>
        <v>0</v>
      </c>
      <c r="BK11" s="17"/>
      <c r="BL11" s="18"/>
      <c r="BM11" s="18"/>
      <c r="BN11" s="18"/>
      <c r="BO11" s="18"/>
      <c r="BP11" s="58"/>
      <c r="BQ11" s="18"/>
      <c r="BR11" s="46">
        <f>SUM(BP11:BQ11)</f>
        <v>0</v>
      </c>
    </row>
    <row r="12" spans="1:70" ht="15" x14ac:dyDescent="0.2">
      <c r="A12" s="32">
        <v>44314</v>
      </c>
      <c r="B12" s="17">
        <v>533</v>
      </c>
      <c r="C12" s="18">
        <v>2</v>
      </c>
      <c r="D12" s="18">
        <v>2</v>
      </c>
      <c r="E12" s="18">
        <v>0</v>
      </c>
      <c r="F12" s="19">
        <f t="shared" si="0"/>
        <v>537</v>
      </c>
      <c r="G12" s="17"/>
      <c r="H12" s="18"/>
      <c r="I12" s="18"/>
      <c r="J12" s="18"/>
      <c r="K12" s="18"/>
      <c r="L12" s="58"/>
      <c r="M12" s="18"/>
      <c r="N12" s="46">
        <f>SUM(L12:M12)</f>
        <v>0</v>
      </c>
      <c r="O12" s="17"/>
      <c r="P12" s="18"/>
      <c r="Q12" s="18"/>
      <c r="R12" s="18"/>
      <c r="S12" s="18"/>
      <c r="T12" s="58"/>
      <c r="U12" s="18"/>
      <c r="V12" s="46">
        <f>SUM(T12:U12)</f>
        <v>0</v>
      </c>
      <c r="W12" s="17"/>
      <c r="X12" s="18"/>
      <c r="Y12" s="18"/>
      <c r="Z12" s="18"/>
      <c r="AA12" s="18"/>
      <c r="AB12" s="58"/>
      <c r="AC12" s="18"/>
      <c r="AD12" s="46">
        <f>SUM(AB12:AC12)</f>
        <v>0</v>
      </c>
      <c r="AE12" s="17"/>
      <c r="AF12" s="18"/>
      <c r="AG12" s="18"/>
      <c r="AH12" s="18"/>
      <c r="AI12" s="18"/>
      <c r="AJ12" s="58"/>
      <c r="AK12" s="18"/>
      <c r="AL12" s="46">
        <f>SUM(AJ12:AK12)</f>
        <v>0</v>
      </c>
      <c r="AM12" s="17"/>
      <c r="AN12" s="18"/>
      <c r="AO12" s="18"/>
      <c r="AP12" s="18"/>
      <c r="AQ12" s="18"/>
      <c r="AR12" s="58"/>
      <c r="AS12" s="18"/>
      <c r="AT12" s="46">
        <f>SUM(AR12:AS12)</f>
        <v>0</v>
      </c>
      <c r="AU12" s="17"/>
      <c r="AV12" s="18"/>
      <c r="AW12" s="18"/>
      <c r="AX12" s="18"/>
      <c r="AY12" s="18"/>
      <c r="AZ12" s="58"/>
      <c r="BA12" s="18"/>
      <c r="BB12" s="46">
        <f>SUM(AZ12:BA12)</f>
        <v>0</v>
      </c>
      <c r="BC12" s="17"/>
      <c r="BD12" s="18"/>
      <c r="BE12" s="18"/>
      <c r="BF12" s="18"/>
      <c r="BG12" s="18"/>
      <c r="BH12" s="58"/>
      <c r="BI12" s="18"/>
      <c r="BJ12" s="46">
        <f>SUM(BH12:BI12)</f>
        <v>0</v>
      </c>
      <c r="BK12" s="17"/>
      <c r="BL12" s="18"/>
      <c r="BM12" s="18"/>
      <c r="BN12" s="18"/>
      <c r="BO12" s="18"/>
      <c r="BP12" s="58"/>
      <c r="BQ12" s="18"/>
      <c r="BR12" s="46">
        <f>SUM(BP12:BQ12)</f>
        <v>0</v>
      </c>
    </row>
    <row r="13" spans="1:70" ht="15" x14ac:dyDescent="0.2">
      <c r="A13" s="32">
        <v>44315</v>
      </c>
      <c r="B13" s="17">
        <f>398+350</f>
        <v>748</v>
      </c>
      <c r="C13" s="18">
        <v>6</v>
      </c>
      <c r="D13" s="18">
        <v>7</v>
      </c>
      <c r="E13" s="18">
        <v>0</v>
      </c>
      <c r="F13" s="19">
        <f t="shared" si="0"/>
        <v>761</v>
      </c>
      <c r="G13" s="17"/>
      <c r="H13" s="18"/>
      <c r="I13" s="18"/>
      <c r="J13" s="18"/>
      <c r="K13" s="18"/>
      <c r="L13" s="58"/>
      <c r="M13" s="18"/>
      <c r="N13" s="46">
        <f>SUM(L13:M13)</f>
        <v>0</v>
      </c>
      <c r="O13" s="17"/>
      <c r="P13" s="18"/>
      <c r="Q13" s="18"/>
      <c r="R13" s="18"/>
      <c r="S13" s="18"/>
      <c r="T13" s="58"/>
      <c r="U13" s="18"/>
      <c r="V13" s="46">
        <f>SUM(T13:U13)</f>
        <v>0</v>
      </c>
      <c r="W13" s="17"/>
      <c r="X13" s="18"/>
      <c r="Y13" s="18"/>
      <c r="Z13" s="18"/>
      <c r="AA13" s="18"/>
      <c r="AB13" s="58"/>
      <c r="AC13" s="18"/>
      <c r="AD13" s="46">
        <f>SUM(AB13:AC13)</f>
        <v>0</v>
      </c>
      <c r="AE13" s="17"/>
      <c r="AF13" s="18"/>
      <c r="AG13" s="18"/>
      <c r="AH13" s="18"/>
      <c r="AI13" s="18"/>
      <c r="AJ13" s="58"/>
      <c r="AK13" s="18"/>
      <c r="AL13" s="46">
        <f>SUM(AJ13:AK13)</f>
        <v>0</v>
      </c>
      <c r="AM13" s="17"/>
      <c r="AN13" s="18"/>
      <c r="AO13" s="18"/>
      <c r="AP13" s="18"/>
      <c r="AQ13" s="18"/>
      <c r="AR13" s="58"/>
      <c r="AS13" s="18"/>
      <c r="AT13" s="46">
        <f>SUM(AR13:AS13)</f>
        <v>0</v>
      </c>
      <c r="AU13" s="17"/>
      <c r="AV13" s="18"/>
      <c r="AW13" s="18"/>
      <c r="AX13" s="18"/>
      <c r="AY13" s="18"/>
      <c r="AZ13" s="58"/>
      <c r="BA13" s="18"/>
      <c r="BB13" s="46">
        <f>SUM(AZ13:BA13)</f>
        <v>0</v>
      </c>
      <c r="BC13" s="17"/>
      <c r="BD13" s="18"/>
      <c r="BE13" s="18"/>
      <c r="BF13" s="18"/>
      <c r="BG13" s="18"/>
      <c r="BH13" s="58"/>
      <c r="BI13" s="18"/>
      <c r="BJ13" s="46">
        <f>SUM(BH13:BI13)</f>
        <v>0</v>
      </c>
      <c r="BK13" s="17"/>
      <c r="BL13" s="18"/>
      <c r="BM13" s="18"/>
      <c r="BN13" s="18"/>
      <c r="BO13" s="18"/>
      <c r="BP13" s="58"/>
      <c r="BQ13" s="18"/>
      <c r="BR13" s="46">
        <f>SUM(BP13:BQ13)</f>
        <v>0</v>
      </c>
    </row>
    <row r="14" spans="1:70" ht="15" x14ac:dyDescent="0.2">
      <c r="A14" s="32">
        <v>44316</v>
      </c>
      <c r="B14" s="17">
        <f>346+295</f>
        <v>641</v>
      </c>
      <c r="C14" s="18">
        <v>3</v>
      </c>
      <c r="D14" s="18">
        <v>1</v>
      </c>
      <c r="E14" s="18">
        <v>0</v>
      </c>
      <c r="F14" s="19">
        <f t="shared" si="0"/>
        <v>645</v>
      </c>
      <c r="G14" s="17"/>
      <c r="H14" s="18"/>
      <c r="I14" s="18"/>
      <c r="J14" s="18"/>
      <c r="K14" s="18"/>
      <c r="L14" s="58"/>
      <c r="M14" s="18"/>
      <c r="N14" s="46">
        <f>SUM(L14:M14)</f>
        <v>0</v>
      </c>
      <c r="O14" s="17"/>
      <c r="P14" s="18"/>
      <c r="Q14" s="18"/>
      <c r="R14" s="18"/>
      <c r="S14" s="18"/>
      <c r="T14" s="58"/>
      <c r="U14" s="18"/>
      <c r="V14" s="46">
        <f>SUM(T14:U14)</f>
        <v>0</v>
      </c>
      <c r="W14" s="17"/>
      <c r="X14" s="18"/>
      <c r="Y14" s="18"/>
      <c r="Z14" s="18"/>
      <c r="AA14" s="18"/>
      <c r="AB14" s="58"/>
      <c r="AC14" s="18"/>
      <c r="AD14" s="46">
        <f>SUM(AB14:AC14)</f>
        <v>0</v>
      </c>
      <c r="AE14" s="17"/>
      <c r="AF14" s="18"/>
      <c r="AG14" s="18"/>
      <c r="AH14" s="18"/>
      <c r="AI14" s="18"/>
      <c r="AJ14" s="58"/>
      <c r="AK14" s="18"/>
      <c r="AL14" s="46">
        <f>SUM(AJ14:AK14)</f>
        <v>0</v>
      </c>
      <c r="AM14" s="17"/>
      <c r="AN14" s="18"/>
      <c r="AO14" s="18"/>
      <c r="AP14" s="18"/>
      <c r="AQ14" s="18"/>
      <c r="AR14" s="58"/>
      <c r="AS14" s="18"/>
      <c r="AT14" s="46">
        <f>SUM(AR14:AS14)</f>
        <v>0</v>
      </c>
      <c r="AU14" s="17"/>
      <c r="AV14" s="18"/>
      <c r="AW14" s="18"/>
      <c r="AX14" s="18"/>
      <c r="AY14" s="18"/>
      <c r="AZ14" s="58"/>
      <c r="BA14" s="18"/>
      <c r="BB14" s="46">
        <f>SUM(AZ14:BA14)</f>
        <v>0</v>
      </c>
      <c r="BC14" s="17"/>
      <c r="BD14" s="18"/>
      <c r="BE14" s="18"/>
      <c r="BF14" s="18"/>
      <c r="BG14" s="18"/>
      <c r="BH14" s="58"/>
      <c r="BI14" s="18"/>
      <c r="BJ14" s="46">
        <f>SUM(BH14:BI14)</f>
        <v>0</v>
      </c>
      <c r="BK14" s="17"/>
      <c r="BL14" s="18"/>
      <c r="BM14" s="18"/>
      <c r="BN14" s="18"/>
      <c r="BO14" s="18"/>
      <c r="BP14" s="58"/>
      <c r="BQ14" s="18"/>
      <c r="BR14" s="46">
        <f>SUM(BP14:BQ14)</f>
        <v>0</v>
      </c>
    </row>
    <row r="15" spans="1:70" ht="15" x14ac:dyDescent="0.2">
      <c r="A15" s="32">
        <v>44317</v>
      </c>
      <c r="B15" s="17">
        <v>1243</v>
      </c>
      <c r="C15" s="18">
        <v>1</v>
      </c>
      <c r="D15" s="18">
        <v>0</v>
      </c>
      <c r="E15" s="18">
        <v>0</v>
      </c>
      <c r="F15" s="19">
        <f t="shared" si="0"/>
        <v>1244</v>
      </c>
      <c r="G15" s="17"/>
      <c r="H15" s="18"/>
      <c r="I15" s="18"/>
      <c r="J15" s="18"/>
      <c r="K15" s="18"/>
      <c r="L15" s="58"/>
      <c r="M15" s="18"/>
      <c r="N15" s="46">
        <f>SUM(L15:M15)</f>
        <v>0</v>
      </c>
      <c r="O15" s="17"/>
      <c r="P15" s="18"/>
      <c r="Q15" s="18"/>
      <c r="R15" s="18"/>
      <c r="S15" s="18"/>
      <c r="T15" s="58"/>
      <c r="U15" s="18"/>
      <c r="V15" s="46">
        <f>SUM(T15:U15)</f>
        <v>0</v>
      </c>
      <c r="W15" s="17"/>
      <c r="X15" s="18"/>
      <c r="Y15" s="18"/>
      <c r="Z15" s="18"/>
      <c r="AA15" s="18"/>
      <c r="AB15" s="58"/>
      <c r="AC15" s="18"/>
      <c r="AD15" s="46">
        <f>SUM(AB15:AC15)</f>
        <v>0</v>
      </c>
      <c r="AE15" s="17"/>
      <c r="AF15" s="18"/>
      <c r="AG15" s="18"/>
      <c r="AH15" s="18"/>
      <c r="AI15" s="18"/>
      <c r="AJ15" s="58"/>
      <c r="AK15" s="18"/>
      <c r="AL15" s="46">
        <f>SUM(AJ15:AK15)</f>
        <v>0</v>
      </c>
      <c r="AM15" s="17"/>
      <c r="AN15" s="18"/>
      <c r="AO15" s="18"/>
      <c r="AP15" s="18"/>
      <c r="AQ15" s="18"/>
      <c r="AR15" s="58"/>
      <c r="AS15" s="18"/>
      <c r="AT15" s="46">
        <f>SUM(AR15:AS15)</f>
        <v>0</v>
      </c>
      <c r="AU15" s="17"/>
      <c r="AV15" s="18"/>
      <c r="AW15" s="18"/>
      <c r="AX15" s="18"/>
      <c r="AY15" s="18"/>
      <c r="AZ15" s="58"/>
      <c r="BA15" s="18"/>
      <c r="BB15" s="46">
        <f>SUM(AZ15:BA15)</f>
        <v>0</v>
      </c>
      <c r="BC15" s="17"/>
      <c r="BD15" s="18"/>
      <c r="BE15" s="18"/>
      <c r="BF15" s="18"/>
      <c r="BG15" s="18"/>
      <c r="BH15" s="58"/>
      <c r="BI15" s="18"/>
      <c r="BJ15" s="46">
        <f>SUM(BH15:BI15)</f>
        <v>0</v>
      </c>
      <c r="BK15" s="17"/>
      <c r="BL15" s="18"/>
      <c r="BM15" s="18"/>
      <c r="BN15" s="18"/>
      <c r="BO15" s="18"/>
      <c r="BP15" s="58"/>
      <c r="BQ15" s="18"/>
      <c r="BR15" s="46">
        <f>SUM(BP15:BQ15)</f>
        <v>0</v>
      </c>
    </row>
    <row r="16" spans="1:70" ht="15" x14ac:dyDescent="0.2">
      <c r="A16" s="34">
        <v>44318</v>
      </c>
      <c r="B16" s="20"/>
      <c r="C16" s="15"/>
      <c r="D16" s="21"/>
      <c r="E16" s="21"/>
      <c r="F16" s="16"/>
      <c r="G16" s="20"/>
      <c r="H16" s="15"/>
      <c r="I16" s="21"/>
      <c r="J16" s="21"/>
      <c r="K16" s="21"/>
      <c r="L16" s="59"/>
      <c r="M16" s="15"/>
      <c r="N16" s="15"/>
      <c r="O16" s="20"/>
      <c r="P16" s="15"/>
      <c r="Q16" s="21"/>
      <c r="R16" s="21"/>
      <c r="S16" s="21"/>
      <c r="T16" s="59"/>
      <c r="U16" s="15"/>
      <c r="V16" s="15"/>
      <c r="W16" s="20"/>
      <c r="X16" s="15"/>
      <c r="Y16" s="21"/>
      <c r="Z16" s="21"/>
      <c r="AA16" s="21"/>
      <c r="AB16" s="59"/>
      <c r="AC16" s="15"/>
      <c r="AD16" s="15"/>
      <c r="AE16" s="20"/>
      <c r="AF16" s="15"/>
      <c r="AG16" s="21"/>
      <c r="AH16" s="21"/>
      <c r="AI16" s="21"/>
      <c r="AJ16" s="59"/>
      <c r="AK16" s="15"/>
      <c r="AL16" s="15"/>
      <c r="AM16" s="20"/>
      <c r="AN16" s="15"/>
      <c r="AO16" s="21"/>
      <c r="AP16" s="21"/>
      <c r="AQ16" s="21"/>
      <c r="AR16" s="59"/>
      <c r="AS16" s="15"/>
      <c r="AT16" s="15"/>
      <c r="AU16" s="20"/>
      <c r="AV16" s="15"/>
      <c r="AW16" s="21"/>
      <c r="AX16" s="21"/>
      <c r="AY16" s="21"/>
      <c r="AZ16" s="59"/>
      <c r="BA16" s="15"/>
      <c r="BB16" s="15"/>
      <c r="BC16" s="20"/>
      <c r="BD16" s="15"/>
      <c r="BE16" s="21"/>
      <c r="BF16" s="21"/>
      <c r="BG16" s="21"/>
      <c r="BH16" s="59"/>
      <c r="BI16" s="15"/>
      <c r="BJ16" s="15"/>
      <c r="BK16" s="20"/>
      <c r="BL16" s="15"/>
      <c r="BM16" s="21"/>
      <c r="BN16" s="21"/>
      <c r="BO16" s="21"/>
      <c r="BP16" s="59"/>
      <c r="BQ16" s="15"/>
      <c r="BR16" s="15"/>
    </row>
    <row r="17" spans="1:70" ht="15" x14ac:dyDescent="0.2">
      <c r="A17" s="34">
        <v>44319</v>
      </c>
      <c r="B17" s="22"/>
      <c r="C17" s="12"/>
      <c r="D17" s="23"/>
      <c r="E17" s="23"/>
      <c r="F17" s="13"/>
      <c r="G17" s="22"/>
      <c r="H17" s="12"/>
      <c r="I17" s="23"/>
      <c r="J17" s="23"/>
      <c r="K17" s="23"/>
      <c r="L17" s="60"/>
      <c r="M17" s="12"/>
      <c r="N17" s="12"/>
      <c r="O17" s="22"/>
      <c r="P17" s="12"/>
      <c r="Q17" s="23"/>
      <c r="R17" s="23"/>
      <c r="S17" s="23"/>
      <c r="T17" s="60"/>
      <c r="U17" s="12"/>
      <c r="V17" s="12"/>
      <c r="W17" s="22"/>
      <c r="X17" s="12"/>
      <c r="Y17" s="23"/>
      <c r="Z17" s="23"/>
      <c r="AA17" s="23"/>
      <c r="AB17" s="60"/>
      <c r="AC17" s="12"/>
      <c r="AD17" s="12"/>
      <c r="AE17" s="22"/>
      <c r="AF17" s="12"/>
      <c r="AG17" s="23"/>
      <c r="AH17" s="23"/>
      <c r="AI17" s="23"/>
      <c r="AJ17" s="60"/>
      <c r="AK17" s="12"/>
      <c r="AL17" s="12"/>
      <c r="AM17" s="22"/>
      <c r="AN17" s="12"/>
      <c r="AO17" s="23"/>
      <c r="AP17" s="23"/>
      <c r="AQ17" s="23"/>
      <c r="AR17" s="60"/>
      <c r="AS17" s="12"/>
      <c r="AT17" s="12"/>
      <c r="AU17" s="22"/>
      <c r="AV17" s="12"/>
      <c r="AW17" s="23"/>
      <c r="AX17" s="23"/>
      <c r="AY17" s="23"/>
      <c r="AZ17" s="60"/>
      <c r="BA17" s="12"/>
      <c r="BB17" s="12"/>
      <c r="BC17" s="22"/>
      <c r="BD17" s="12"/>
      <c r="BE17" s="23"/>
      <c r="BF17" s="23"/>
      <c r="BG17" s="23"/>
      <c r="BH17" s="60"/>
      <c r="BI17" s="12"/>
      <c r="BJ17" s="12"/>
      <c r="BK17" s="22"/>
      <c r="BL17" s="12"/>
      <c r="BM17" s="23"/>
      <c r="BN17" s="23"/>
      <c r="BO17" s="23"/>
      <c r="BP17" s="60"/>
      <c r="BQ17" s="12"/>
      <c r="BR17" s="12"/>
    </row>
    <row r="18" spans="1:70" ht="15" x14ac:dyDescent="0.2">
      <c r="A18" s="32">
        <v>44320</v>
      </c>
      <c r="B18" s="17">
        <f>400+361+378</f>
        <v>1139</v>
      </c>
      <c r="C18" s="18">
        <v>0</v>
      </c>
      <c r="D18" s="18">
        <v>0</v>
      </c>
      <c r="E18" s="18">
        <v>0</v>
      </c>
      <c r="F18" s="19">
        <f t="shared" si="0"/>
        <v>1139</v>
      </c>
      <c r="G18" s="17"/>
      <c r="H18" s="18"/>
      <c r="I18" s="18"/>
      <c r="J18" s="18"/>
      <c r="K18" s="18"/>
      <c r="L18" s="58"/>
      <c r="M18" s="18"/>
      <c r="N18" s="46">
        <f>SUM(L18:M18)</f>
        <v>0</v>
      </c>
      <c r="O18" s="17"/>
      <c r="P18" s="18"/>
      <c r="Q18" s="18"/>
      <c r="R18" s="18"/>
      <c r="S18" s="18"/>
      <c r="T18" s="58"/>
      <c r="U18" s="18"/>
      <c r="V18" s="46">
        <f>SUM(T18:U18)</f>
        <v>0</v>
      </c>
      <c r="W18" s="17"/>
      <c r="X18" s="18"/>
      <c r="Y18" s="18"/>
      <c r="Z18" s="18"/>
      <c r="AA18" s="18"/>
      <c r="AB18" s="58"/>
      <c r="AC18" s="18"/>
      <c r="AD18" s="46">
        <f>SUM(AB18:AC18)</f>
        <v>0</v>
      </c>
      <c r="AE18" s="17"/>
      <c r="AF18" s="18"/>
      <c r="AG18" s="18"/>
      <c r="AH18" s="18"/>
      <c r="AI18" s="18"/>
      <c r="AJ18" s="58"/>
      <c r="AK18" s="18"/>
      <c r="AL18" s="46">
        <f>SUM(AJ18:AK18)</f>
        <v>0</v>
      </c>
      <c r="AM18" s="17"/>
      <c r="AN18" s="18"/>
      <c r="AO18" s="18"/>
      <c r="AP18" s="18"/>
      <c r="AQ18" s="18"/>
      <c r="AR18" s="58"/>
      <c r="AS18" s="18"/>
      <c r="AT18" s="46">
        <f>SUM(AR18:AS18)</f>
        <v>0</v>
      </c>
      <c r="AU18" s="17"/>
      <c r="AV18" s="18"/>
      <c r="AW18" s="18"/>
      <c r="AX18" s="18"/>
      <c r="AY18" s="18"/>
      <c r="AZ18" s="58"/>
      <c r="BA18" s="18"/>
      <c r="BB18" s="46">
        <f>SUM(AZ18:BA18)</f>
        <v>0</v>
      </c>
      <c r="BC18" s="17"/>
      <c r="BD18" s="18"/>
      <c r="BE18" s="18"/>
      <c r="BF18" s="18"/>
      <c r="BG18" s="18"/>
      <c r="BH18" s="58"/>
      <c r="BI18" s="18"/>
      <c r="BJ18" s="46">
        <f>SUM(BH18:BI18)</f>
        <v>0</v>
      </c>
      <c r="BK18" s="17"/>
      <c r="BL18" s="18"/>
      <c r="BM18" s="18"/>
      <c r="BN18" s="18"/>
      <c r="BO18" s="18"/>
      <c r="BP18" s="58"/>
      <c r="BQ18" s="18"/>
      <c r="BR18" s="46">
        <f>SUM(BP18:BQ18)</f>
        <v>0</v>
      </c>
    </row>
    <row r="19" spans="1:70" ht="15" x14ac:dyDescent="0.2">
      <c r="A19" s="32">
        <v>44321</v>
      </c>
      <c r="B19" s="17">
        <f>370+368+341+361</f>
        <v>1440</v>
      </c>
      <c r="C19" s="18">
        <v>1</v>
      </c>
      <c r="D19" s="18">
        <v>6</v>
      </c>
      <c r="E19" s="18">
        <v>0</v>
      </c>
      <c r="F19" s="19">
        <f t="shared" si="0"/>
        <v>1447</v>
      </c>
      <c r="G19" s="17"/>
      <c r="H19" s="18"/>
      <c r="I19" s="18"/>
      <c r="J19" s="18"/>
      <c r="K19" s="18"/>
      <c r="L19" s="58"/>
      <c r="M19" s="18"/>
      <c r="N19" s="46">
        <f>SUM(L19:M19)</f>
        <v>0</v>
      </c>
      <c r="O19" s="17"/>
      <c r="P19" s="18"/>
      <c r="Q19" s="18"/>
      <c r="R19" s="18"/>
      <c r="S19" s="18"/>
      <c r="T19" s="58"/>
      <c r="U19" s="18"/>
      <c r="V19" s="46">
        <f>SUM(T19:U19)</f>
        <v>0</v>
      </c>
      <c r="W19" s="17"/>
      <c r="X19" s="18"/>
      <c r="Y19" s="18"/>
      <c r="Z19" s="18"/>
      <c r="AA19" s="18"/>
      <c r="AB19" s="58"/>
      <c r="AC19" s="18"/>
      <c r="AD19" s="46">
        <f>SUM(AB19:AC19)</f>
        <v>0</v>
      </c>
      <c r="AE19" s="17"/>
      <c r="AF19" s="18"/>
      <c r="AG19" s="18"/>
      <c r="AH19" s="18"/>
      <c r="AI19" s="18"/>
      <c r="AJ19" s="58"/>
      <c r="AK19" s="18"/>
      <c r="AL19" s="46">
        <f>SUM(AJ19:AK19)</f>
        <v>0</v>
      </c>
      <c r="AM19" s="17"/>
      <c r="AN19" s="18"/>
      <c r="AO19" s="18"/>
      <c r="AP19" s="18"/>
      <c r="AQ19" s="18"/>
      <c r="AR19" s="58"/>
      <c r="AS19" s="18"/>
      <c r="AT19" s="46">
        <f>SUM(AR19:AS19)</f>
        <v>0</v>
      </c>
      <c r="AU19" s="17"/>
      <c r="AV19" s="18"/>
      <c r="AW19" s="18"/>
      <c r="AX19" s="18"/>
      <c r="AY19" s="18"/>
      <c r="AZ19" s="58"/>
      <c r="BA19" s="18"/>
      <c r="BB19" s="46">
        <f>SUM(AZ19:BA19)</f>
        <v>0</v>
      </c>
      <c r="BC19" s="17"/>
      <c r="BD19" s="18"/>
      <c r="BE19" s="18"/>
      <c r="BF19" s="18"/>
      <c r="BG19" s="18"/>
      <c r="BH19" s="58"/>
      <c r="BI19" s="18"/>
      <c r="BJ19" s="46">
        <f>SUM(BH19:BI19)</f>
        <v>0</v>
      </c>
      <c r="BK19" s="17"/>
      <c r="BL19" s="18"/>
      <c r="BM19" s="18"/>
      <c r="BN19" s="18"/>
      <c r="BO19" s="18"/>
      <c r="BP19" s="58"/>
      <c r="BQ19" s="18"/>
      <c r="BR19" s="46">
        <f>SUM(BP19:BQ19)</f>
        <v>0</v>
      </c>
    </row>
    <row r="20" spans="1:70" ht="15" x14ac:dyDescent="0.2">
      <c r="A20" s="32">
        <v>44322</v>
      </c>
      <c r="B20" s="17">
        <v>350</v>
      </c>
      <c r="C20" s="18">
        <v>0</v>
      </c>
      <c r="D20" s="18">
        <v>6</v>
      </c>
      <c r="E20" s="18">
        <v>0</v>
      </c>
      <c r="F20" s="19">
        <f t="shared" si="0"/>
        <v>356</v>
      </c>
      <c r="G20" s="17"/>
      <c r="H20" s="18"/>
      <c r="I20" s="18"/>
      <c r="J20" s="18"/>
      <c r="K20" s="18"/>
      <c r="L20" s="58"/>
      <c r="M20" s="18"/>
      <c r="N20" s="46">
        <f>SUM(L20:M20)</f>
        <v>0</v>
      </c>
      <c r="O20" s="17"/>
      <c r="P20" s="18"/>
      <c r="Q20" s="18"/>
      <c r="R20" s="18"/>
      <c r="S20" s="18"/>
      <c r="T20" s="58"/>
      <c r="U20" s="18"/>
      <c r="V20" s="46">
        <f>SUM(T20:U20)</f>
        <v>0</v>
      </c>
      <c r="W20" s="17"/>
      <c r="X20" s="18"/>
      <c r="Y20" s="18"/>
      <c r="Z20" s="18"/>
      <c r="AA20" s="18"/>
      <c r="AB20" s="58"/>
      <c r="AC20" s="18"/>
      <c r="AD20" s="46">
        <f>SUM(AB20:AC20)</f>
        <v>0</v>
      </c>
      <c r="AE20" s="17"/>
      <c r="AF20" s="18"/>
      <c r="AG20" s="18"/>
      <c r="AH20" s="18"/>
      <c r="AI20" s="18"/>
      <c r="AJ20" s="58"/>
      <c r="AK20" s="18"/>
      <c r="AL20" s="46">
        <f>SUM(AJ20:AK20)</f>
        <v>0</v>
      </c>
      <c r="AM20" s="17"/>
      <c r="AN20" s="18"/>
      <c r="AO20" s="18"/>
      <c r="AP20" s="18"/>
      <c r="AQ20" s="18"/>
      <c r="AR20" s="58"/>
      <c r="AS20" s="18"/>
      <c r="AT20" s="46">
        <f>SUM(AR20:AS20)</f>
        <v>0</v>
      </c>
      <c r="AU20" s="17"/>
      <c r="AV20" s="18"/>
      <c r="AW20" s="18"/>
      <c r="AX20" s="18"/>
      <c r="AY20" s="18"/>
      <c r="AZ20" s="58"/>
      <c r="BA20" s="18"/>
      <c r="BB20" s="46">
        <f>SUM(AZ20:BA20)</f>
        <v>0</v>
      </c>
      <c r="BC20" s="17"/>
      <c r="BD20" s="18"/>
      <c r="BE20" s="18"/>
      <c r="BF20" s="18"/>
      <c r="BG20" s="18"/>
      <c r="BH20" s="58"/>
      <c r="BI20" s="18"/>
      <c r="BJ20" s="46">
        <f>SUM(BH20:BI20)</f>
        <v>0</v>
      </c>
      <c r="BK20" s="17"/>
      <c r="BL20" s="18"/>
      <c r="BM20" s="18"/>
      <c r="BN20" s="18"/>
      <c r="BO20" s="18"/>
      <c r="BP20" s="58"/>
      <c r="BQ20" s="18"/>
      <c r="BR20" s="46">
        <f>SUM(BP20:BQ20)</f>
        <v>0</v>
      </c>
    </row>
    <row r="21" spans="1:70" ht="15" x14ac:dyDescent="0.2">
      <c r="A21" s="32">
        <v>44323</v>
      </c>
      <c r="B21" s="17">
        <f>352+355+332</f>
        <v>1039</v>
      </c>
      <c r="C21" s="18">
        <v>7</v>
      </c>
      <c r="D21" s="18">
        <v>0</v>
      </c>
      <c r="E21" s="18">
        <v>0</v>
      </c>
      <c r="F21" s="19">
        <f t="shared" si="0"/>
        <v>1046</v>
      </c>
      <c r="G21" s="17"/>
      <c r="H21" s="18"/>
      <c r="I21" s="18"/>
      <c r="J21" s="18"/>
      <c r="K21" s="18"/>
      <c r="L21" s="58"/>
      <c r="M21" s="18"/>
      <c r="N21" s="46">
        <f>SUM(L21:M21)</f>
        <v>0</v>
      </c>
      <c r="O21" s="17"/>
      <c r="P21" s="18"/>
      <c r="Q21" s="18"/>
      <c r="R21" s="18"/>
      <c r="S21" s="18"/>
      <c r="T21" s="58"/>
      <c r="U21" s="18"/>
      <c r="V21" s="46">
        <f>SUM(T21:U21)</f>
        <v>0</v>
      </c>
      <c r="W21" s="17"/>
      <c r="X21" s="18"/>
      <c r="Y21" s="18"/>
      <c r="Z21" s="18"/>
      <c r="AA21" s="18"/>
      <c r="AB21" s="58"/>
      <c r="AC21" s="18"/>
      <c r="AD21" s="46">
        <f>SUM(AB21:AC21)</f>
        <v>0</v>
      </c>
      <c r="AE21" s="17"/>
      <c r="AF21" s="18"/>
      <c r="AG21" s="18"/>
      <c r="AH21" s="18"/>
      <c r="AI21" s="18"/>
      <c r="AJ21" s="58"/>
      <c r="AK21" s="18"/>
      <c r="AL21" s="46">
        <f>SUM(AJ21:AK21)</f>
        <v>0</v>
      </c>
      <c r="AM21" s="17"/>
      <c r="AN21" s="18"/>
      <c r="AO21" s="18"/>
      <c r="AP21" s="18"/>
      <c r="AQ21" s="18"/>
      <c r="AR21" s="58"/>
      <c r="AS21" s="18"/>
      <c r="AT21" s="46">
        <f>SUM(AR21:AS21)</f>
        <v>0</v>
      </c>
      <c r="AU21" s="17"/>
      <c r="AV21" s="18"/>
      <c r="AW21" s="18"/>
      <c r="AX21" s="18"/>
      <c r="AY21" s="18"/>
      <c r="AZ21" s="58"/>
      <c r="BA21" s="18"/>
      <c r="BB21" s="46">
        <f>SUM(AZ21:BA21)</f>
        <v>0</v>
      </c>
      <c r="BC21" s="17"/>
      <c r="BD21" s="18"/>
      <c r="BE21" s="18"/>
      <c r="BF21" s="18"/>
      <c r="BG21" s="18"/>
      <c r="BH21" s="58"/>
      <c r="BI21" s="18"/>
      <c r="BJ21" s="46">
        <f>SUM(BH21:BI21)</f>
        <v>0</v>
      </c>
      <c r="BK21" s="17"/>
      <c r="BL21" s="18"/>
      <c r="BM21" s="18"/>
      <c r="BN21" s="18"/>
      <c r="BO21" s="18"/>
      <c r="BP21" s="58"/>
      <c r="BQ21" s="18"/>
      <c r="BR21" s="46">
        <f>SUM(BP21:BQ21)</f>
        <v>0</v>
      </c>
    </row>
    <row r="22" spans="1:70" ht="15" x14ac:dyDescent="0.2">
      <c r="A22" s="32">
        <v>44324</v>
      </c>
      <c r="B22" s="24">
        <f>93+367+354+383+348+359</f>
        <v>1904</v>
      </c>
      <c r="C22" s="25">
        <v>2</v>
      </c>
      <c r="D22" s="25">
        <v>1</v>
      </c>
      <c r="E22" s="25">
        <v>0</v>
      </c>
      <c r="F22" s="19">
        <f>SUM(B22:E22)</f>
        <v>1907</v>
      </c>
      <c r="G22" s="24"/>
      <c r="H22" s="25"/>
      <c r="I22" s="25"/>
      <c r="J22" s="25"/>
      <c r="K22" s="25"/>
      <c r="L22" s="61"/>
      <c r="M22" s="25"/>
      <c r="N22" s="46">
        <f>SUM(L22:M22)</f>
        <v>0</v>
      </c>
      <c r="O22" s="24"/>
      <c r="P22" s="25"/>
      <c r="Q22" s="25"/>
      <c r="R22" s="25"/>
      <c r="S22" s="25"/>
      <c r="T22" s="61"/>
      <c r="U22" s="25"/>
      <c r="V22" s="46">
        <f>SUM(T22:U22)</f>
        <v>0</v>
      </c>
      <c r="W22" s="24"/>
      <c r="X22" s="25"/>
      <c r="Y22" s="25"/>
      <c r="Z22" s="25"/>
      <c r="AA22" s="25"/>
      <c r="AB22" s="61"/>
      <c r="AC22" s="25"/>
      <c r="AD22" s="46">
        <f>SUM(AB22:AC22)</f>
        <v>0</v>
      </c>
      <c r="AE22" s="24"/>
      <c r="AF22" s="25"/>
      <c r="AG22" s="25"/>
      <c r="AH22" s="25"/>
      <c r="AI22" s="25"/>
      <c r="AJ22" s="61"/>
      <c r="AK22" s="25"/>
      <c r="AL22" s="46">
        <f>SUM(AJ22:AK22)</f>
        <v>0</v>
      </c>
      <c r="AM22" s="24"/>
      <c r="AN22" s="25"/>
      <c r="AO22" s="25"/>
      <c r="AP22" s="25"/>
      <c r="AQ22" s="25"/>
      <c r="AR22" s="61"/>
      <c r="AS22" s="25"/>
      <c r="AT22" s="46">
        <f>SUM(AR22:AS22)</f>
        <v>0</v>
      </c>
      <c r="AU22" s="24"/>
      <c r="AV22" s="25"/>
      <c r="AW22" s="25"/>
      <c r="AX22" s="25"/>
      <c r="AY22" s="25"/>
      <c r="AZ22" s="61"/>
      <c r="BA22" s="25"/>
      <c r="BB22" s="46">
        <f>SUM(AZ22:BA22)</f>
        <v>0</v>
      </c>
      <c r="BC22" s="24"/>
      <c r="BD22" s="25"/>
      <c r="BE22" s="25"/>
      <c r="BF22" s="25"/>
      <c r="BG22" s="25"/>
      <c r="BH22" s="61"/>
      <c r="BI22" s="25"/>
      <c r="BJ22" s="46">
        <f>SUM(BH22:BI22)</f>
        <v>0</v>
      </c>
      <c r="BK22" s="24"/>
      <c r="BL22" s="25"/>
      <c r="BM22" s="25"/>
      <c r="BN22" s="25"/>
      <c r="BO22" s="25"/>
      <c r="BP22" s="61"/>
      <c r="BQ22" s="25"/>
      <c r="BR22" s="46">
        <f>SUM(BP22:BQ22)</f>
        <v>0</v>
      </c>
    </row>
    <row r="23" spans="1:70" ht="15" x14ac:dyDescent="0.2">
      <c r="A23" s="34">
        <v>44325</v>
      </c>
      <c r="B23" s="20"/>
      <c r="C23" s="15"/>
      <c r="D23" s="21"/>
      <c r="E23" s="21"/>
      <c r="F23" s="16"/>
      <c r="G23" s="20"/>
      <c r="H23" s="15"/>
      <c r="I23" s="21"/>
      <c r="J23" s="21"/>
      <c r="K23" s="21"/>
      <c r="L23" s="59"/>
      <c r="M23" s="15"/>
      <c r="N23" s="15"/>
      <c r="O23" s="20"/>
      <c r="P23" s="15"/>
      <c r="Q23" s="21"/>
      <c r="R23" s="21"/>
      <c r="S23" s="21"/>
      <c r="T23" s="59"/>
      <c r="U23" s="15"/>
      <c r="V23" s="15"/>
      <c r="W23" s="20"/>
      <c r="X23" s="15"/>
      <c r="Y23" s="21"/>
      <c r="Z23" s="21"/>
      <c r="AA23" s="21"/>
      <c r="AB23" s="59"/>
      <c r="AC23" s="15"/>
      <c r="AD23" s="15"/>
      <c r="AE23" s="20"/>
      <c r="AF23" s="15"/>
      <c r="AG23" s="21"/>
      <c r="AH23" s="21"/>
      <c r="AI23" s="21"/>
      <c r="AJ23" s="59"/>
      <c r="AK23" s="15"/>
      <c r="AL23" s="15"/>
      <c r="AM23" s="20"/>
      <c r="AN23" s="15"/>
      <c r="AO23" s="21"/>
      <c r="AP23" s="21"/>
      <c r="AQ23" s="21"/>
      <c r="AR23" s="59"/>
      <c r="AS23" s="15"/>
      <c r="AT23" s="15"/>
      <c r="AU23" s="20"/>
      <c r="AV23" s="15"/>
      <c r="AW23" s="21"/>
      <c r="AX23" s="21"/>
      <c r="AY23" s="21"/>
      <c r="AZ23" s="59"/>
      <c r="BA23" s="15"/>
      <c r="BB23" s="15"/>
      <c r="BC23" s="20"/>
      <c r="BD23" s="15"/>
      <c r="BE23" s="21"/>
      <c r="BF23" s="21"/>
      <c r="BG23" s="21"/>
      <c r="BH23" s="59"/>
      <c r="BI23" s="15"/>
      <c r="BJ23" s="15"/>
      <c r="BK23" s="20"/>
      <c r="BL23" s="15"/>
      <c r="BM23" s="21"/>
      <c r="BN23" s="21"/>
      <c r="BO23" s="21"/>
      <c r="BP23" s="59"/>
      <c r="BQ23" s="15"/>
      <c r="BR23" s="15"/>
    </row>
    <row r="24" spans="1:70" ht="15" x14ac:dyDescent="0.2">
      <c r="A24" s="34">
        <v>44326</v>
      </c>
      <c r="B24" s="22"/>
      <c r="C24" s="12"/>
      <c r="D24" s="23"/>
      <c r="E24" s="23"/>
      <c r="F24" s="13"/>
      <c r="G24" s="22"/>
      <c r="H24" s="12"/>
      <c r="I24" s="23"/>
      <c r="J24" s="23"/>
      <c r="K24" s="23"/>
      <c r="L24" s="60"/>
      <c r="M24" s="12"/>
      <c r="N24" s="12"/>
      <c r="O24" s="22"/>
      <c r="P24" s="12"/>
      <c r="Q24" s="23"/>
      <c r="R24" s="23"/>
      <c r="S24" s="23"/>
      <c r="T24" s="60"/>
      <c r="U24" s="12"/>
      <c r="V24" s="12"/>
      <c r="W24" s="22"/>
      <c r="X24" s="12"/>
      <c r="Y24" s="23"/>
      <c r="Z24" s="23"/>
      <c r="AA24" s="23"/>
      <c r="AB24" s="60"/>
      <c r="AC24" s="12"/>
      <c r="AD24" s="12"/>
      <c r="AE24" s="22"/>
      <c r="AF24" s="12"/>
      <c r="AG24" s="23"/>
      <c r="AH24" s="23"/>
      <c r="AI24" s="23"/>
      <c r="AJ24" s="60"/>
      <c r="AK24" s="12"/>
      <c r="AL24" s="12"/>
      <c r="AM24" s="22"/>
      <c r="AN24" s="12"/>
      <c r="AO24" s="23"/>
      <c r="AP24" s="23"/>
      <c r="AQ24" s="23"/>
      <c r="AR24" s="60"/>
      <c r="AS24" s="12"/>
      <c r="AT24" s="12"/>
      <c r="AU24" s="22"/>
      <c r="AV24" s="12"/>
      <c r="AW24" s="23"/>
      <c r="AX24" s="23"/>
      <c r="AY24" s="23"/>
      <c r="AZ24" s="60"/>
      <c r="BA24" s="12"/>
      <c r="BB24" s="12"/>
      <c r="BC24" s="22"/>
      <c r="BD24" s="12"/>
      <c r="BE24" s="23"/>
      <c r="BF24" s="23"/>
      <c r="BG24" s="23"/>
      <c r="BH24" s="60"/>
      <c r="BI24" s="12"/>
      <c r="BJ24" s="12"/>
      <c r="BK24" s="22"/>
      <c r="BL24" s="12"/>
      <c r="BM24" s="23"/>
      <c r="BN24" s="23"/>
      <c r="BO24" s="23"/>
      <c r="BP24" s="60"/>
      <c r="BQ24" s="12"/>
      <c r="BR24" s="12"/>
    </row>
    <row r="25" spans="1:70" s="37" customFormat="1" ht="15" x14ac:dyDescent="0.25">
      <c r="A25" s="35">
        <v>44327</v>
      </c>
      <c r="B25" s="36"/>
      <c r="C25" s="36"/>
      <c r="D25" s="36"/>
      <c r="E25" s="36"/>
      <c r="F25" s="40">
        <f>SUM(B25:E25)</f>
        <v>0</v>
      </c>
      <c r="G25" s="36"/>
      <c r="H25" s="36"/>
      <c r="I25" s="36"/>
      <c r="J25" s="36"/>
      <c r="K25" s="36"/>
      <c r="L25" s="62"/>
      <c r="M25" s="36"/>
      <c r="N25" s="47"/>
      <c r="O25" s="36"/>
      <c r="P25" s="36"/>
      <c r="Q25" s="36"/>
      <c r="R25" s="36"/>
      <c r="S25" s="36"/>
      <c r="T25" s="62"/>
      <c r="U25" s="36"/>
      <c r="V25" s="47"/>
      <c r="W25" s="36"/>
      <c r="X25" s="36"/>
      <c r="Y25" s="36"/>
      <c r="Z25" s="36"/>
      <c r="AA25" s="36"/>
      <c r="AB25" s="62"/>
      <c r="AC25" s="36"/>
      <c r="AD25" s="47"/>
      <c r="AE25" s="36"/>
      <c r="AF25" s="36"/>
      <c r="AG25" s="36"/>
      <c r="AH25" s="36"/>
      <c r="AI25" s="36"/>
      <c r="AJ25" s="62"/>
      <c r="AK25" s="36"/>
      <c r="AL25" s="47"/>
      <c r="AM25" s="36"/>
      <c r="AN25" s="36"/>
      <c r="AO25" s="36"/>
      <c r="AP25" s="36"/>
      <c r="AQ25" s="36"/>
      <c r="AR25" s="62"/>
      <c r="AS25" s="36"/>
      <c r="AT25" s="47"/>
      <c r="AU25" s="36"/>
      <c r="AV25" s="36"/>
      <c r="AW25" s="36"/>
      <c r="AX25" s="36"/>
      <c r="AY25" s="36"/>
      <c r="AZ25" s="62"/>
      <c r="BA25" s="36"/>
      <c r="BB25" s="47"/>
      <c r="BC25" s="36"/>
      <c r="BD25" s="36"/>
      <c r="BE25" s="36"/>
      <c r="BF25" s="36"/>
      <c r="BG25" s="36"/>
      <c r="BH25" s="62"/>
      <c r="BI25" s="36"/>
      <c r="BJ25" s="47"/>
      <c r="BK25" s="36"/>
      <c r="BL25" s="36"/>
      <c r="BM25" s="36"/>
      <c r="BN25" s="36"/>
      <c r="BO25" s="36"/>
      <c r="BP25" s="62"/>
      <c r="BQ25" s="36"/>
      <c r="BR25" s="47"/>
    </row>
    <row r="26" spans="1:70" ht="15" x14ac:dyDescent="0.2">
      <c r="A26" s="32">
        <v>44328</v>
      </c>
      <c r="B26" s="17">
        <f>377+355+370+368+368</f>
        <v>1838</v>
      </c>
      <c r="C26" s="18">
        <v>0</v>
      </c>
      <c r="D26" s="18">
        <v>6</v>
      </c>
      <c r="E26" s="18">
        <v>0</v>
      </c>
      <c r="F26" s="19">
        <f>SUM(B26:E26)</f>
        <v>1844</v>
      </c>
      <c r="G26" s="17"/>
      <c r="H26" s="18"/>
      <c r="I26" s="18"/>
      <c r="J26" s="18"/>
      <c r="K26" s="18"/>
      <c r="L26" s="58"/>
      <c r="M26" s="18"/>
      <c r="N26" s="46">
        <f>SUM(L26:M26)</f>
        <v>0</v>
      </c>
      <c r="O26" s="17"/>
      <c r="P26" s="18"/>
      <c r="Q26" s="18"/>
      <c r="R26" s="18"/>
      <c r="S26" s="18"/>
      <c r="T26" s="58"/>
      <c r="U26" s="18"/>
      <c r="V26" s="46">
        <f>SUM(T26:U26)</f>
        <v>0</v>
      </c>
      <c r="W26" s="17"/>
      <c r="X26" s="18"/>
      <c r="Y26" s="18"/>
      <c r="Z26" s="18"/>
      <c r="AA26" s="18"/>
      <c r="AB26" s="58"/>
      <c r="AC26" s="18"/>
      <c r="AD26" s="46">
        <f>SUM(AB26:AC26)</f>
        <v>0</v>
      </c>
      <c r="AE26" s="17"/>
      <c r="AF26" s="18"/>
      <c r="AG26" s="18"/>
      <c r="AH26" s="18"/>
      <c r="AI26" s="18"/>
      <c r="AJ26" s="58"/>
      <c r="AK26" s="18"/>
      <c r="AL26" s="46">
        <f>SUM(AJ26:AK26)</f>
        <v>0</v>
      </c>
      <c r="AM26" s="17"/>
      <c r="AN26" s="18"/>
      <c r="AO26" s="18"/>
      <c r="AP26" s="18"/>
      <c r="AQ26" s="18"/>
      <c r="AR26" s="58"/>
      <c r="AS26" s="18"/>
      <c r="AT26" s="46">
        <f>SUM(AR26:AS26)</f>
        <v>0</v>
      </c>
      <c r="AU26" s="17"/>
      <c r="AV26" s="18"/>
      <c r="AW26" s="18"/>
      <c r="AX26" s="18"/>
      <c r="AY26" s="18"/>
      <c r="AZ26" s="58"/>
      <c r="BA26" s="18"/>
      <c r="BB26" s="46">
        <f>SUM(AZ26:BA26)</f>
        <v>0</v>
      </c>
      <c r="BC26" s="17"/>
      <c r="BD26" s="18"/>
      <c r="BE26" s="18"/>
      <c r="BF26" s="18"/>
      <c r="BG26" s="18"/>
      <c r="BH26" s="58"/>
      <c r="BI26" s="18"/>
      <c r="BJ26" s="46">
        <f>SUM(BH26:BI26)</f>
        <v>0</v>
      </c>
      <c r="BK26" s="17"/>
      <c r="BL26" s="18"/>
      <c r="BM26" s="18"/>
      <c r="BN26" s="18"/>
      <c r="BO26" s="18"/>
      <c r="BP26" s="58"/>
      <c r="BQ26" s="18"/>
      <c r="BR26" s="46">
        <f>SUM(BP26:BQ26)</f>
        <v>0</v>
      </c>
    </row>
    <row r="27" spans="1:70" ht="15" x14ac:dyDescent="0.2">
      <c r="A27" s="32">
        <v>44329</v>
      </c>
      <c r="B27" s="17">
        <f>358+381+410+390</f>
        <v>1539</v>
      </c>
      <c r="C27" s="18">
        <v>4</v>
      </c>
      <c r="D27" s="18">
        <v>6</v>
      </c>
      <c r="E27" s="18">
        <v>0</v>
      </c>
      <c r="F27" s="19">
        <f>SUM(B27:E27)</f>
        <v>1549</v>
      </c>
      <c r="G27" s="17"/>
      <c r="H27" s="18"/>
      <c r="I27" s="18"/>
      <c r="J27" s="18"/>
      <c r="K27" s="18"/>
      <c r="L27" s="58"/>
      <c r="M27" s="18"/>
      <c r="N27" s="46">
        <f>SUM(L27:M27)</f>
        <v>0</v>
      </c>
      <c r="O27" s="17"/>
      <c r="P27" s="18"/>
      <c r="Q27" s="18"/>
      <c r="R27" s="18"/>
      <c r="S27" s="18"/>
      <c r="T27" s="58"/>
      <c r="U27" s="18"/>
      <c r="V27" s="46">
        <f>SUM(T27:U27)</f>
        <v>0</v>
      </c>
      <c r="W27" s="17"/>
      <c r="X27" s="18"/>
      <c r="Y27" s="18"/>
      <c r="Z27" s="18"/>
      <c r="AA27" s="18"/>
      <c r="AB27" s="58"/>
      <c r="AC27" s="18"/>
      <c r="AD27" s="46">
        <f>SUM(AB27:AC27)</f>
        <v>0</v>
      </c>
      <c r="AE27" s="17"/>
      <c r="AF27" s="18"/>
      <c r="AG27" s="18"/>
      <c r="AH27" s="18"/>
      <c r="AI27" s="18"/>
      <c r="AJ27" s="58"/>
      <c r="AK27" s="18"/>
      <c r="AL27" s="46">
        <f>SUM(AJ27:AK27)</f>
        <v>0</v>
      </c>
      <c r="AM27" s="17"/>
      <c r="AN27" s="18"/>
      <c r="AO27" s="18"/>
      <c r="AP27" s="18"/>
      <c r="AQ27" s="18"/>
      <c r="AR27" s="58"/>
      <c r="AS27" s="18"/>
      <c r="AT27" s="46">
        <f>SUM(AR27:AS27)</f>
        <v>0</v>
      </c>
      <c r="AU27" s="17"/>
      <c r="AV27" s="18"/>
      <c r="AW27" s="18"/>
      <c r="AX27" s="18"/>
      <c r="AY27" s="18"/>
      <c r="AZ27" s="58"/>
      <c r="BA27" s="18"/>
      <c r="BB27" s="46">
        <f>SUM(AZ27:BA27)</f>
        <v>0</v>
      </c>
      <c r="BC27" s="17"/>
      <c r="BD27" s="18"/>
      <c r="BE27" s="18"/>
      <c r="BF27" s="18"/>
      <c r="BG27" s="18"/>
      <c r="BH27" s="58"/>
      <c r="BI27" s="18"/>
      <c r="BJ27" s="46">
        <f>SUM(BH27:BI27)</f>
        <v>0</v>
      </c>
      <c r="BK27" s="17"/>
      <c r="BL27" s="18"/>
      <c r="BM27" s="18"/>
      <c r="BN27" s="18"/>
      <c r="BO27" s="18"/>
      <c r="BP27" s="58"/>
      <c r="BQ27" s="18"/>
      <c r="BR27" s="46">
        <f>SUM(BP27:BQ27)</f>
        <v>0</v>
      </c>
    </row>
    <row r="28" spans="1:70" ht="15" x14ac:dyDescent="0.2">
      <c r="A28" s="32">
        <v>44330</v>
      </c>
      <c r="B28" s="17">
        <f>254+947+331</f>
        <v>1532</v>
      </c>
      <c r="C28" s="18">
        <v>0</v>
      </c>
      <c r="D28" s="18">
        <v>0</v>
      </c>
      <c r="E28" s="18">
        <v>0</v>
      </c>
      <c r="F28" s="19">
        <f t="shared" ref="F28:F29" si="1">SUM(B28:E28)</f>
        <v>1532</v>
      </c>
      <c r="G28" s="17"/>
      <c r="H28" s="18"/>
      <c r="I28" s="18"/>
      <c r="J28" s="18"/>
      <c r="K28" s="18"/>
      <c r="L28" s="58"/>
      <c r="M28" s="18"/>
      <c r="N28" s="46">
        <f>SUM(L28:M28)</f>
        <v>0</v>
      </c>
      <c r="O28" s="17"/>
      <c r="P28" s="18"/>
      <c r="Q28" s="18"/>
      <c r="R28" s="18"/>
      <c r="S28" s="18"/>
      <c r="T28" s="58"/>
      <c r="U28" s="18"/>
      <c r="V28" s="46">
        <f>SUM(T28:U28)</f>
        <v>0</v>
      </c>
      <c r="W28" s="17"/>
      <c r="X28" s="18"/>
      <c r="Y28" s="18"/>
      <c r="Z28" s="18"/>
      <c r="AA28" s="18"/>
      <c r="AB28" s="58"/>
      <c r="AC28" s="18"/>
      <c r="AD28" s="46">
        <f>SUM(AB28:AC28)</f>
        <v>0</v>
      </c>
      <c r="AE28" s="17"/>
      <c r="AF28" s="18"/>
      <c r="AG28" s="18"/>
      <c r="AH28" s="18"/>
      <c r="AI28" s="18"/>
      <c r="AJ28" s="58"/>
      <c r="AK28" s="18"/>
      <c r="AL28" s="46">
        <f>SUM(AJ28:AK28)</f>
        <v>0</v>
      </c>
      <c r="AM28" s="17"/>
      <c r="AN28" s="18"/>
      <c r="AO28" s="18"/>
      <c r="AP28" s="18"/>
      <c r="AQ28" s="18"/>
      <c r="AR28" s="58"/>
      <c r="AS28" s="18"/>
      <c r="AT28" s="46">
        <f>SUM(AR28:AS28)</f>
        <v>0</v>
      </c>
      <c r="AU28" s="17"/>
      <c r="AV28" s="18"/>
      <c r="AW28" s="18"/>
      <c r="AX28" s="18"/>
      <c r="AY28" s="18"/>
      <c r="AZ28" s="58"/>
      <c r="BA28" s="18"/>
      <c r="BB28" s="46">
        <f>SUM(AZ28:BA28)</f>
        <v>0</v>
      </c>
      <c r="BC28" s="17"/>
      <c r="BD28" s="18"/>
      <c r="BE28" s="18"/>
      <c r="BF28" s="18"/>
      <c r="BG28" s="18"/>
      <c r="BH28" s="58"/>
      <c r="BI28" s="18"/>
      <c r="BJ28" s="46">
        <f>SUM(BH28:BI28)</f>
        <v>0</v>
      </c>
      <c r="BK28" s="17"/>
      <c r="BL28" s="18"/>
      <c r="BM28" s="18"/>
      <c r="BN28" s="18"/>
      <c r="BO28" s="18"/>
      <c r="BP28" s="58"/>
      <c r="BQ28" s="18"/>
      <c r="BR28" s="46">
        <f>SUM(BP28:BQ28)</f>
        <v>0</v>
      </c>
    </row>
    <row r="29" spans="1:70" ht="15" x14ac:dyDescent="0.2">
      <c r="A29" s="32">
        <v>44331</v>
      </c>
      <c r="B29" s="17">
        <f>347+275+415+345+353</f>
        <v>1735</v>
      </c>
      <c r="C29" s="18">
        <v>5</v>
      </c>
      <c r="D29" s="18">
        <v>3</v>
      </c>
      <c r="E29" s="18">
        <v>0</v>
      </c>
      <c r="F29" s="19">
        <f t="shared" si="1"/>
        <v>1743</v>
      </c>
      <c r="G29" s="17"/>
      <c r="H29" s="18"/>
      <c r="I29" s="18"/>
      <c r="J29" s="18"/>
      <c r="K29" s="18"/>
      <c r="L29" s="58"/>
      <c r="M29" s="18"/>
      <c r="N29" s="46">
        <f>SUM(L29:M29)</f>
        <v>0</v>
      </c>
      <c r="O29" s="17"/>
      <c r="P29" s="18"/>
      <c r="Q29" s="18"/>
      <c r="R29" s="18"/>
      <c r="S29" s="18"/>
      <c r="T29" s="58"/>
      <c r="U29" s="18"/>
      <c r="V29" s="46">
        <f>SUM(T29:U29)</f>
        <v>0</v>
      </c>
      <c r="W29" s="17"/>
      <c r="X29" s="18"/>
      <c r="Y29" s="18"/>
      <c r="Z29" s="18"/>
      <c r="AA29" s="18"/>
      <c r="AB29" s="58"/>
      <c r="AC29" s="18"/>
      <c r="AD29" s="46">
        <f>SUM(AB29:AC29)</f>
        <v>0</v>
      </c>
      <c r="AE29" s="17"/>
      <c r="AF29" s="18"/>
      <c r="AG29" s="18"/>
      <c r="AH29" s="18"/>
      <c r="AI29" s="18"/>
      <c r="AJ29" s="58"/>
      <c r="AK29" s="18"/>
      <c r="AL29" s="46">
        <f>SUM(AJ29:AK29)</f>
        <v>0</v>
      </c>
      <c r="AM29" s="17"/>
      <c r="AN29" s="18"/>
      <c r="AO29" s="18"/>
      <c r="AP29" s="18"/>
      <c r="AQ29" s="18"/>
      <c r="AR29" s="58"/>
      <c r="AS29" s="18"/>
      <c r="AT29" s="46">
        <f>SUM(AR29:AS29)</f>
        <v>0</v>
      </c>
      <c r="AU29" s="17"/>
      <c r="AV29" s="18"/>
      <c r="AW29" s="18"/>
      <c r="AX29" s="18"/>
      <c r="AY29" s="18"/>
      <c r="AZ29" s="58"/>
      <c r="BA29" s="18"/>
      <c r="BB29" s="46">
        <f>SUM(AZ29:BA29)</f>
        <v>0</v>
      </c>
      <c r="BC29" s="17"/>
      <c r="BD29" s="18"/>
      <c r="BE29" s="18"/>
      <c r="BF29" s="18"/>
      <c r="BG29" s="18"/>
      <c r="BH29" s="58"/>
      <c r="BI29" s="18"/>
      <c r="BJ29" s="46">
        <f>SUM(BH29:BI29)</f>
        <v>0</v>
      </c>
      <c r="BK29" s="17"/>
      <c r="BL29" s="18"/>
      <c r="BM29" s="18"/>
      <c r="BN29" s="18"/>
      <c r="BO29" s="18"/>
      <c r="BP29" s="58"/>
      <c r="BQ29" s="18"/>
      <c r="BR29" s="46">
        <f>SUM(BP29:BQ29)</f>
        <v>0</v>
      </c>
    </row>
    <row r="30" spans="1:70" ht="15" x14ac:dyDescent="0.2">
      <c r="A30" s="34">
        <v>44332</v>
      </c>
      <c r="B30" s="14"/>
      <c r="C30" s="15"/>
      <c r="D30" s="15"/>
      <c r="E30" s="15"/>
      <c r="F30" s="16"/>
      <c r="G30" s="14"/>
      <c r="H30" s="15"/>
      <c r="I30" s="15"/>
      <c r="J30" s="15"/>
      <c r="K30" s="15"/>
      <c r="L30" s="57"/>
      <c r="M30" s="15"/>
      <c r="N30" s="15"/>
      <c r="O30" s="14"/>
      <c r="P30" s="15"/>
      <c r="Q30" s="15"/>
      <c r="R30" s="15"/>
      <c r="S30" s="15"/>
      <c r="T30" s="57"/>
      <c r="U30" s="15"/>
      <c r="V30" s="15"/>
      <c r="W30" s="14"/>
      <c r="X30" s="15"/>
      <c r="Y30" s="15"/>
      <c r="Z30" s="15"/>
      <c r="AA30" s="15"/>
      <c r="AB30" s="57"/>
      <c r="AC30" s="15"/>
      <c r="AD30" s="15"/>
      <c r="AE30" s="14"/>
      <c r="AF30" s="15"/>
      <c r="AG30" s="15"/>
      <c r="AH30" s="15"/>
      <c r="AI30" s="15"/>
      <c r="AJ30" s="57"/>
      <c r="AK30" s="15"/>
      <c r="AL30" s="15"/>
      <c r="AM30" s="14"/>
      <c r="AN30" s="15"/>
      <c r="AO30" s="15"/>
      <c r="AP30" s="15"/>
      <c r="AQ30" s="15"/>
      <c r="AR30" s="57"/>
      <c r="AS30" s="15"/>
      <c r="AT30" s="15"/>
      <c r="AU30" s="14"/>
      <c r="AV30" s="15"/>
      <c r="AW30" s="15"/>
      <c r="AX30" s="15"/>
      <c r="AY30" s="15"/>
      <c r="AZ30" s="57"/>
      <c r="BA30" s="15"/>
      <c r="BB30" s="15"/>
      <c r="BC30" s="14"/>
      <c r="BD30" s="15"/>
      <c r="BE30" s="15"/>
      <c r="BF30" s="15"/>
      <c r="BG30" s="15"/>
      <c r="BH30" s="57"/>
      <c r="BI30" s="15"/>
      <c r="BJ30" s="15"/>
      <c r="BK30" s="14"/>
      <c r="BL30" s="15"/>
      <c r="BM30" s="15"/>
      <c r="BN30" s="15"/>
      <c r="BO30" s="15"/>
      <c r="BP30" s="57"/>
      <c r="BQ30" s="15"/>
      <c r="BR30" s="15"/>
    </row>
    <row r="31" spans="1:70" ht="15" x14ac:dyDescent="0.2">
      <c r="A31" s="34">
        <v>44333</v>
      </c>
      <c r="B31" s="11"/>
      <c r="C31" s="12"/>
      <c r="D31" s="12"/>
      <c r="E31" s="12"/>
      <c r="F31" s="13"/>
      <c r="G31" s="11"/>
      <c r="H31" s="12"/>
      <c r="I31" s="12"/>
      <c r="J31" s="12"/>
      <c r="K31" s="12"/>
      <c r="L31" s="56"/>
      <c r="M31" s="12"/>
      <c r="N31" s="12"/>
      <c r="O31" s="11"/>
      <c r="P31" s="12"/>
      <c r="Q31" s="12"/>
      <c r="R31" s="12"/>
      <c r="S31" s="12"/>
      <c r="T31" s="56"/>
      <c r="U31" s="12"/>
      <c r="V31" s="12"/>
      <c r="W31" s="11"/>
      <c r="X31" s="12"/>
      <c r="Y31" s="12"/>
      <c r="Z31" s="12"/>
      <c r="AA31" s="12"/>
      <c r="AB31" s="56"/>
      <c r="AC31" s="12"/>
      <c r="AD31" s="12"/>
      <c r="AE31" s="11"/>
      <c r="AF31" s="12"/>
      <c r="AG31" s="12"/>
      <c r="AH31" s="12"/>
      <c r="AI31" s="12"/>
      <c r="AJ31" s="56"/>
      <c r="AK31" s="12"/>
      <c r="AL31" s="12"/>
      <c r="AM31" s="11"/>
      <c r="AN31" s="12"/>
      <c r="AO31" s="12"/>
      <c r="AP31" s="12"/>
      <c r="AQ31" s="12"/>
      <c r="AR31" s="56"/>
      <c r="AS31" s="12"/>
      <c r="AT31" s="12"/>
      <c r="AU31" s="11"/>
      <c r="AV31" s="12"/>
      <c r="AW31" s="12"/>
      <c r="AX31" s="12"/>
      <c r="AY31" s="12"/>
      <c r="AZ31" s="56"/>
      <c r="BA31" s="12"/>
      <c r="BB31" s="12"/>
      <c r="BC31" s="11"/>
      <c r="BD31" s="12"/>
      <c r="BE31" s="12"/>
      <c r="BF31" s="12"/>
      <c r="BG31" s="12"/>
      <c r="BH31" s="56"/>
      <c r="BI31" s="12"/>
      <c r="BJ31" s="12"/>
      <c r="BK31" s="11"/>
      <c r="BL31" s="12"/>
      <c r="BM31" s="12"/>
      <c r="BN31" s="12"/>
      <c r="BO31" s="12"/>
      <c r="BP31" s="56"/>
      <c r="BQ31" s="12"/>
      <c r="BR31" s="12"/>
    </row>
    <row r="32" spans="1:70" ht="15" x14ac:dyDescent="0.2">
      <c r="A32" s="32">
        <v>44334</v>
      </c>
      <c r="B32" s="17">
        <f>372+353+347+348+328</f>
        <v>1748</v>
      </c>
      <c r="C32" s="18">
        <v>3</v>
      </c>
      <c r="D32" s="18">
        <v>12</v>
      </c>
      <c r="E32" s="18">
        <v>0</v>
      </c>
      <c r="F32" s="19">
        <f t="shared" ref="F32:F53" si="2">SUM(B32:E32)</f>
        <v>1763</v>
      </c>
      <c r="G32" s="17"/>
      <c r="H32" s="18"/>
      <c r="I32" s="18"/>
      <c r="J32" s="18"/>
      <c r="K32" s="18"/>
      <c r="L32" s="58"/>
      <c r="M32" s="18"/>
      <c r="N32" s="46">
        <f>SUM(L32:M32)</f>
        <v>0</v>
      </c>
      <c r="O32" s="17"/>
      <c r="P32" s="18"/>
      <c r="Q32" s="18"/>
      <c r="R32" s="18"/>
      <c r="S32" s="18"/>
      <c r="T32" s="58"/>
      <c r="U32" s="18"/>
      <c r="V32" s="46">
        <f>SUM(T32:U32)</f>
        <v>0</v>
      </c>
      <c r="W32" s="17"/>
      <c r="X32" s="18"/>
      <c r="Y32" s="18"/>
      <c r="Z32" s="18"/>
      <c r="AA32" s="18"/>
      <c r="AB32" s="58"/>
      <c r="AC32" s="18"/>
      <c r="AD32" s="46">
        <f>SUM(AB32:AC32)</f>
        <v>0</v>
      </c>
      <c r="AE32" s="17"/>
      <c r="AF32" s="18"/>
      <c r="AG32" s="18"/>
      <c r="AH32" s="18"/>
      <c r="AI32" s="18"/>
      <c r="AJ32" s="58"/>
      <c r="AK32" s="18"/>
      <c r="AL32" s="46">
        <f>SUM(AJ32:AK32)</f>
        <v>0</v>
      </c>
      <c r="AM32" s="17"/>
      <c r="AN32" s="18"/>
      <c r="AO32" s="18"/>
      <c r="AP32" s="18"/>
      <c r="AQ32" s="18"/>
      <c r="AR32" s="58"/>
      <c r="AS32" s="18"/>
      <c r="AT32" s="46">
        <f>SUM(AR32:AS32)</f>
        <v>0</v>
      </c>
      <c r="AU32" s="17"/>
      <c r="AV32" s="18"/>
      <c r="AW32" s="18"/>
      <c r="AX32" s="18"/>
      <c r="AY32" s="18"/>
      <c r="AZ32" s="58"/>
      <c r="BA32" s="18"/>
      <c r="BB32" s="46">
        <f>SUM(AZ32:BA32)</f>
        <v>0</v>
      </c>
      <c r="BC32" s="17"/>
      <c r="BD32" s="18"/>
      <c r="BE32" s="18"/>
      <c r="BF32" s="18"/>
      <c r="BG32" s="18"/>
      <c r="BH32" s="58"/>
      <c r="BI32" s="18"/>
      <c r="BJ32" s="46">
        <f>SUM(BH32:BI32)</f>
        <v>0</v>
      </c>
      <c r="BK32" s="17"/>
      <c r="BL32" s="18"/>
      <c r="BM32" s="18"/>
      <c r="BN32" s="18"/>
      <c r="BO32" s="18"/>
      <c r="BP32" s="58"/>
      <c r="BQ32" s="18"/>
      <c r="BR32" s="46">
        <f>SUM(BP32:BQ32)</f>
        <v>0</v>
      </c>
    </row>
    <row r="33" spans="1:70" ht="15" x14ac:dyDescent="0.2">
      <c r="A33" s="32">
        <v>44335</v>
      </c>
      <c r="B33" s="17">
        <f>360+365+358+348+348+334+360+354</f>
        <v>2827</v>
      </c>
      <c r="C33" s="18">
        <v>1</v>
      </c>
      <c r="D33" s="18">
        <v>0</v>
      </c>
      <c r="E33" s="18">
        <v>0</v>
      </c>
      <c r="F33" s="19">
        <f t="shared" si="2"/>
        <v>2828</v>
      </c>
      <c r="G33" s="17"/>
      <c r="H33" s="18"/>
      <c r="I33" s="18"/>
      <c r="J33" s="18"/>
      <c r="K33" s="18"/>
      <c r="L33" s="58"/>
      <c r="M33" s="18"/>
      <c r="N33" s="46">
        <f>SUM(L33:M33)</f>
        <v>0</v>
      </c>
      <c r="O33" s="17"/>
      <c r="P33" s="18"/>
      <c r="Q33" s="18"/>
      <c r="R33" s="18"/>
      <c r="S33" s="18"/>
      <c r="T33" s="58"/>
      <c r="U33" s="18"/>
      <c r="V33" s="46">
        <f>SUM(T33:U33)</f>
        <v>0</v>
      </c>
      <c r="W33" s="17"/>
      <c r="X33" s="18"/>
      <c r="Y33" s="18"/>
      <c r="Z33" s="18"/>
      <c r="AA33" s="18"/>
      <c r="AB33" s="58"/>
      <c r="AC33" s="18"/>
      <c r="AD33" s="46">
        <f>SUM(AB33:AC33)</f>
        <v>0</v>
      </c>
      <c r="AE33" s="17"/>
      <c r="AF33" s="18"/>
      <c r="AG33" s="18"/>
      <c r="AH33" s="18"/>
      <c r="AI33" s="18"/>
      <c r="AJ33" s="58"/>
      <c r="AK33" s="18"/>
      <c r="AL33" s="46">
        <f>SUM(AJ33:AK33)</f>
        <v>0</v>
      </c>
      <c r="AM33" s="17"/>
      <c r="AN33" s="18"/>
      <c r="AO33" s="18"/>
      <c r="AP33" s="18"/>
      <c r="AQ33" s="18"/>
      <c r="AR33" s="58"/>
      <c r="AS33" s="18"/>
      <c r="AT33" s="46">
        <f>SUM(AR33:AS33)</f>
        <v>0</v>
      </c>
      <c r="AU33" s="17"/>
      <c r="AV33" s="18"/>
      <c r="AW33" s="18"/>
      <c r="AX33" s="18"/>
      <c r="AY33" s="18"/>
      <c r="AZ33" s="58"/>
      <c r="BA33" s="18"/>
      <c r="BB33" s="46">
        <f>SUM(AZ33:BA33)</f>
        <v>0</v>
      </c>
      <c r="BC33" s="17"/>
      <c r="BD33" s="18"/>
      <c r="BE33" s="18"/>
      <c r="BF33" s="18"/>
      <c r="BG33" s="18"/>
      <c r="BH33" s="58"/>
      <c r="BI33" s="18"/>
      <c r="BJ33" s="46">
        <f>SUM(BH33:BI33)</f>
        <v>0</v>
      </c>
      <c r="BK33" s="17"/>
      <c r="BL33" s="18"/>
      <c r="BM33" s="18"/>
      <c r="BN33" s="18"/>
      <c r="BO33" s="18"/>
      <c r="BP33" s="58"/>
      <c r="BQ33" s="18"/>
      <c r="BR33" s="46">
        <f>SUM(BP33:BQ33)</f>
        <v>0</v>
      </c>
    </row>
    <row r="34" spans="1:70" ht="15" x14ac:dyDescent="0.2">
      <c r="A34" s="32">
        <v>44336</v>
      </c>
      <c r="B34" s="17">
        <f>368+332</f>
        <v>700</v>
      </c>
      <c r="C34" s="18">
        <v>4</v>
      </c>
      <c r="D34" s="18">
        <v>19</v>
      </c>
      <c r="E34" s="18">
        <v>0</v>
      </c>
      <c r="F34" s="19">
        <f t="shared" si="2"/>
        <v>723</v>
      </c>
      <c r="G34" s="17"/>
      <c r="H34" s="18"/>
      <c r="I34" s="18"/>
      <c r="J34" s="18"/>
      <c r="K34" s="18"/>
      <c r="L34" s="58"/>
      <c r="M34" s="18"/>
      <c r="N34" s="46">
        <f>SUM(L34:M34)</f>
        <v>0</v>
      </c>
      <c r="O34" s="17"/>
      <c r="P34" s="18"/>
      <c r="Q34" s="18"/>
      <c r="R34" s="18"/>
      <c r="S34" s="18"/>
      <c r="T34" s="58"/>
      <c r="U34" s="18"/>
      <c r="V34" s="46">
        <f>SUM(T34:U34)</f>
        <v>0</v>
      </c>
      <c r="W34" s="17"/>
      <c r="X34" s="18"/>
      <c r="Y34" s="18"/>
      <c r="Z34" s="18"/>
      <c r="AA34" s="18"/>
      <c r="AB34" s="58"/>
      <c r="AC34" s="18"/>
      <c r="AD34" s="46">
        <f>SUM(AB34:AC34)</f>
        <v>0</v>
      </c>
      <c r="AE34" s="17"/>
      <c r="AF34" s="18"/>
      <c r="AG34" s="18"/>
      <c r="AH34" s="18"/>
      <c r="AI34" s="18"/>
      <c r="AJ34" s="58"/>
      <c r="AK34" s="18"/>
      <c r="AL34" s="46">
        <f>SUM(AJ34:AK34)</f>
        <v>0</v>
      </c>
      <c r="AM34" s="17"/>
      <c r="AN34" s="18"/>
      <c r="AO34" s="18"/>
      <c r="AP34" s="18"/>
      <c r="AQ34" s="18"/>
      <c r="AR34" s="58"/>
      <c r="AS34" s="18"/>
      <c r="AT34" s="46">
        <f>SUM(AR34:AS34)</f>
        <v>0</v>
      </c>
      <c r="AU34" s="17"/>
      <c r="AV34" s="18"/>
      <c r="AW34" s="18"/>
      <c r="AX34" s="18"/>
      <c r="AY34" s="18"/>
      <c r="AZ34" s="58"/>
      <c r="BA34" s="18"/>
      <c r="BB34" s="46">
        <f>SUM(AZ34:BA34)</f>
        <v>0</v>
      </c>
      <c r="BC34" s="17"/>
      <c r="BD34" s="18"/>
      <c r="BE34" s="18"/>
      <c r="BF34" s="18"/>
      <c r="BG34" s="18"/>
      <c r="BH34" s="58"/>
      <c r="BI34" s="18"/>
      <c r="BJ34" s="46">
        <f>SUM(BH34:BI34)</f>
        <v>0</v>
      </c>
      <c r="BK34" s="17"/>
      <c r="BL34" s="18"/>
      <c r="BM34" s="18"/>
      <c r="BN34" s="18"/>
      <c r="BO34" s="18"/>
      <c r="BP34" s="58"/>
      <c r="BQ34" s="18"/>
      <c r="BR34" s="46">
        <f>SUM(BP34:BQ34)</f>
        <v>0</v>
      </c>
    </row>
    <row r="35" spans="1:70" ht="15" x14ac:dyDescent="0.2">
      <c r="A35" s="32">
        <v>44337</v>
      </c>
      <c r="B35" s="17">
        <f>334+419+322+256+363</f>
        <v>1694</v>
      </c>
      <c r="C35" s="18">
        <v>9</v>
      </c>
      <c r="D35" s="18">
        <v>17</v>
      </c>
      <c r="E35" s="18">
        <v>0</v>
      </c>
      <c r="F35" s="19">
        <f t="shared" ref="F35:F36" si="3">SUM(B35:E35)</f>
        <v>1720</v>
      </c>
      <c r="G35" s="17"/>
      <c r="H35" s="18"/>
      <c r="I35" s="18"/>
      <c r="J35" s="18"/>
      <c r="K35" s="18"/>
      <c r="L35" s="58"/>
      <c r="M35" s="18"/>
      <c r="N35" s="46">
        <f>SUM(L35:M35)</f>
        <v>0</v>
      </c>
      <c r="O35" s="17"/>
      <c r="P35" s="18"/>
      <c r="Q35" s="18"/>
      <c r="R35" s="18"/>
      <c r="S35" s="18"/>
      <c r="T35" s="58"/>
      <c r="U35" s="18"/>
      <c r="V35" s="46">
        <f>SUM(T35:U35)</f>
        <v>0</v>
      </c>
      <c r="W35" s="17"/>
      <c r="X35" s="18"/>
      <c r="Y35" s="18"/>
      <c r="Z35" s="18"/>
      <c r="AA35" s="18"/>
      <c r="AB35" s="58"/>
      <c r="AC35" s="18"/>
      <c r="AD35" s="46">
        <f>SUM(AB35:AC35)</f>
        <v>0</v>
      </c>
      <c r="AE35" s="17"/>
      <c r="AF35" s="18"/>
      <c r="AG35" s="18"/>
      <c r="AH35" s="18"/>
      <c r="AI35" s="18"/>
      <c r="AJ35" s="58"/>
      <c r="AK35" s="18"/>
      <c r="AL35" s="46">
        <f>SUM(AJ35:AK35)</f>
        <v>0</v>
      </c>
      <c r="AM35" s="17"/>
      <c r="AN35" s="18"/>
      <c r="AO35" s="18"/>
      <c r="AP35" s="18"/>
      <c r="AQ35" s="18"/>
      <c r="AR35" s="58"/>
      <c r="AS35" s="18"/>
      <c r="AT35" s="46">
        <f>SUM(AR35:AS35)</f>
        <v>0</v>
      </c>
      <c r="AU35" s="17"/>
      <c r="AV35" s="18"/>
      <c r="AW35" s="18"/>
      <c r="AX35" s="18"/>
      <c r="AY35" s="18"/>
      <c r="AZ35" s="58"/>
      <c r="BA35" s="18"/>
      <c r="BB35" s="46">
        <f>SUM(AZ35:BA35)</f>
        <v>0</v>
      </c>
      <c r="BC35" s="17"/>
      <c r="BD35" s="18"/>
      <c r="BE35" s="18"/>
      <c r="BF35" s="18"/>
      <c r="BG35" s="18"/>
      <c r="BH35" s="58"/>
      <c r="BI35" s="18"/>
      <c r="BJ35" s="46">
        <f>SUM(BH35:BI35)</f>
        <v>0</v>
      </c>
      <c r="BK35" s="17"/>
      <c r="BL35" s="18"/>
      <c r="BM35" s="18"/>
      <c r="BN35" s="18"/>
      <c r="BO35" s="18"/>
      <c r="BP35" s="58"/>
      <c r="BQ35" s="18"/>
      <c r="BR35" s="46">
        <f>SUM(BP35:BQ35)</f>
        <v>0</v>
      </c>
    </row>
    <row r="36" spans="1:70" ht="15" x14ac:dyDescent="0.2">
      <c r="A36" s="32">
        <v>44338</v>
      </c>
      <c r="B36" s="17">
        <f>355+350+347+315</f>
        <v>1367</v>
      </c>
      <c r="C36" s="18">
        <v>6</v>
      </c>
      <c r="D36" s="18">
        <v>6</v>
      </c>
      <c r="E36" s="18">
        <v>0</v>
      </c>
      <c r="F36" s="19">
        <f t="shared" si="3"/>
        <v>1379</v>
      </c>
      <c r="G36" s="17"/>
      <c r="H36" s="18"/>
      <c r="I36" s="18"/>
      <c r="J36" s="18"/>
      <c r="K36" s="18"/>
      <c r="L36" s="58"/>
      <c r="M36" s="18"/>
      <c r="N36" s="46">
        <f>SUM(L36:M36)</f>
        <v>0</v>
      </c>
      <c r="O36" s="17"/>
      <c r="P36" s="18"/>
      <c r="Q36" s="18"/>
      <c r="R36" s="18"/>
      <c r="S36" s="18"/>
      <c r="T36" s="58"/>
      <c r="U36" s="18"/>
      <c r="V36" s="46">
        <f>SUM(T36:U36)</f>
        <v>0</v>
      </c>
      <c r="W36" s="17"/>
      <c r="X36" s="18"/>
      <c r="Y36" s="18"/>
      <c r="Z36" s="18"/>
      <c r="AA36" s="18"/>
      <c r="AB36" s="58"/>
      <c r="AC36" s="18"/>
      <c r="AD36" s="46">
        <f>SUM(AB36:AC36)</f>
        <v>0</v>
      </c>
      <c r="AE36" s="17"/>
      <c r="AF36" s="18"/>
      <c r="AG36" s="18"/>
      <c r="AH36" s="18"/>
      <c r="AI36" s="18"/>
      <c r="AJ36" s="58"/>
      <c r="AK36" s="18"/>
      <c r="AL36" s="46">
        <f>SUM(AJ36:AK36)</f>
        <v>0</v>
      </c>
      <c r="AM36" s="17"/>
      <c r="AN36" s="18"/>
      <c r="AO36" s="18"/>
      <c r="AP36" s="18"/>
      <c r="AQ36" s="18"/>
      <c r="AR36" s="58"/>
      <c r="AS36" s="18"/>
      <c r="AT36" s="46">
        <f>SUM(AR36:AS36)</f>
        <v>0</v>
      </c>
      <c r="AU36" s="17"/>
      <c r="AV36" s="18"/>
      <c r="AW36" s="18"/>
      <c r="AX36" s="18"/>
      <c r="AY36" s="18"/>
      <c r="AZ36" s="58"/>
      <c r="BA36" s="18"/>
      <c r="BB36" s="46">
        <f>SUM(AZ36:BA36)</f>
        <v>0</v>
      </c>
      <c r="BC36" s="17"/>
      <c r="BD36" s="18"/>
      <c r="BE36" s="18"/>
      <c r="BF36" s="18"/>
      <c r="BG36" s="18"/>
      <c r="BH36" s="58"/>
      <c r="BI36" s="18"/>
      <c r="BJ36" s="46">
        <f>SUM(BH36:BI36)</f>
        <v>0</v>
      </c>
      <c r="BK36" s="17"/>
      <c r="BL36" s="18"/>
      <c r="BM36" s="18"/>
      <c r="BN36" s="18"/>
      <c r="BO36" s="18"/>
      <c r="BP36" s="58"/>
      <c r="BQ36" s="18"/>
      <c r="BR36" s="46">
        <f>SUM(BP36:BQ36)</f>
        <v>0</v>
      </c>
    </row>
    <row r="37" spans="1:70" ht="15" x14ac:dyDescent="0.2">
      <c r="A37" s="34">
        <v>44339</v>
      </c>
      <c r="B37" s="11"/>
      <c r="C37" s="12"/>
      <c r="D37" s="12"/>
      <c r="E37" s="12"/>
      <c r="F37" s="13"/>
      <c r="G37" s="11"/>
      <c r="H37" s="12"/>
      <c r="I37" s="12"/>
      <c r="J37" s="12"/>
      <c r="K37" s="12"/>
      <c r="L37" s="56"/>
      <c r="M37" s="12"/>
      <c r="N37" s="12"/>
      <c r="O37" s="11"/>
      <c r="P37" s="12"/>
      <c r="Q37" s="12"/>
      <c r="R37" s="12"/>
      <c r="S37" s="12"/>
      <c r="T37" s="56"/>
      <c r="U37" s="12"/>
      <c r="V37" s="12"/>
      <c r="W37" s="11"/>
      <c r="X37" s="12"/>
      <c r="Y37" s="12"/>
      <c r="Z37" s="12"/>
      <c r="AA37" s="12"/>
      <c r="AB37" s="56"/>
      <c r="AC37" s="12"/>
      <c r="AD37" s="12"/>
      <c r="AE37" s="11"/>
      <c r="AF37" s="12"/>
      <c r="AG37" s="12"/>
      <c r="AH37" s="12"/>
      <c r="AI37" s="12"/>
      <c r="AJ37" s="56"/>
      <c r="AK37" s="12"/>
      <c r="AL37" s="12"/>
      <c r="AM37" s="11"/>
      <c r="AN37" s="12"/>
      <c r="AO37" s="12"/>
      <c r="AP37" s="12"/>
      <c r="AQ37" s="12"/>
      <c r="AR37" s="56"/>
      <c r="AS37" s="12"/>
      <c r="AT37" s="12"/>
      <c r="AU37" s="11"/>
      <c r="AV37" s="12"/>
      <c r="AW37" s="12"/>
      <c r="AX37" s="12"/>
      <c r="AY37" s="12"/>
      <c r="AZ37" s="56"/>
      <c r="BA37" s="12"/>
      <c r="BB37" s="12"/>
      <c r="BC37" s="11"/>
      <c r="BD37" s="12"/>
      <c r="BE37" s="12"/>
      <c r="BF37" s="12"/>
      <c r="BG37" s="12"/>
      <c r="BH37" s="56"/>
      <c r="BI37" s="12"/>
      <c r="BJ37" s="12"/>
      <c r="BK37" s="11"/>
      <c r="BL37" s="12"/>
      <c r="BM37" s="12"/>
      <c r="BN37" s="12"/>
      <c r="BO37" s="12"/>
      <c r="BP37" s="56"/>
      <c r="BQ37" s="12"/>
      <c r="BR37" s="12"/>
    </row>
    <row r="38" spans="1:70" ht="15" x14ac:dyDescent="0.2">
      <c r="A38" s="34">
        <v>44340</v>
      </c>
      <c r="B38" s="11"/>
      <c r="C38" s="12"/>
      <c r="D38" s="12"/>
      <c r="E38" s="12"/>
      <c r="F38" s="13"/>
      <c r="G38" s="11"/>
      <c r="H38" s="12"/>
      <c r="I38" s="12"/>
      <c r="J38" s="12"/>
      <c r="K38" s="12"/>
      <c r="L38" s="56"/>
      <c r="M38" s="12"/>
      <c r="N38" s="12"/>
      <c r="O38" s="11"/>
      <c r="P38" s="12"/>
      <c r="Q38" s="12"/>
      <c r="R38" s="12"/>
      <c r="S38" s="12"/>
      <c r="T38" s="56"/>
      <c r="U38" s="12"/>
      <c r="V38" s="12"/>
      <c r="W38" s="11"/>
      <c r="X38" s="12"/>
      <c r="Y38" s="12"/>
      <c r="Z38" s="12"/>
      <c r="AA38" s="12"/>
      <c r="AB38" s="56"/>
      <c r="AC38" s="12"/>
      <c r="AD38" s="12"/>
      <c r="AE38" s="11"/>
      <c r="AF38" s="12"/>
      <c r="AG38" s="12"/>
      <c r="AH38" s="12"/>
      <c r="AI38" s="12"/>
      <c r="AJ38" s="56"/>
      <c r="AK38" s="12"/>
      <c r="AL38" s="12"/>
      <c r="AM38" s="11"/>
      <c r="AN38" s="12"/>
      <c r="AO38" s="12"/>
      <c r="AP38" s="12"/>
      <c r="AQ38" s="12"/>
      <c r="AR38" s="56"/>
      <c r="AS38" s="12"/>
      <c r="AT38" s="12"/>
      <c r="AU38" s="11"/>
      <c r="AV38" s="12"/>
      <c r="AW38" s="12"/>
      <c r="AX38" s="12"/>
      <c r="AY38" s="12"/>
      <c r="AZ38" s="56"/>
      <c r="BA38" s="12"/>
      <c r="BB38" s="12"/>
      <c r="BC38" s="11"/>
      <c r="BD38" s="12"/>
      <c r="BE38" s="12"/>
      <c r="BF38" s="12"/>
      <c r="BG38" s="12"/>
      <c r="BH38" s="56"/>
      <c r="BI38" s="12"/>
      <c r="BJ38" s="12"/>
      <c r="BK38" s="11"/>
      <c r="BL38" s="12"/>
      <c r="BM38" s="12"/>
      <c r="BN38" s="12"/>
      <c r="BO38" s="12"/>
      <c r="BP38" s="56"/>
      <c r="BQ38" s="12"/>
      <c r="BR38" s="12"/>
    </row>
    <row r="39" spans="1:70" ht="15" x14ac:dyDescent="0.2">
      <c r="A39" s="32">
        <v>44341</v>
      </c>
      <c r="B39" s="17">
        <f>322+340+264+349</f>
        <v>1275</v>
      </c>
      <c r="C39" s="18">
        <v>6</v>
      </c>
      <c r="D39" s="18">
        <v>18</v>
      </c>
      <c r="E39" s="18">
        <v>1</v>
      </c>
      <c r="F39" s="19">
        <f t="shared" si="2"/>
        <v>1300</v>
      </c>
      <c r="G39" s="17"/>
      <c r="H39" s="18"/>
      <c r="I39" s="18"/>
      <c r="J39" s="18"/>
      <c r="K39" s="18"/>
      <c r="L39" s="58"/>
      <c r="M39" s="18"/>
      <c r="N39" s="46">
        <f>SUM(L39:M39)</f>
        <v>0</v>
      </c>
      <c r="O39" s="17"/>
      <c r="P39" s="18"/>
      <c r="Q39" s="18"/>
      <c r="R39" s="18"/>
      <c r="S39" s="18"/>
      <c r="T39" s="58"/>
      <c r="U39" s="18"/>
      <c r="V39" s="46">
        <f>SUM(T39:U39)</f>
        <v>0</v>
      </c>
      <c r="W39" s="17"/>
      <c r="X39" s="18"/>
      <c r="Y39" s="18"/>
      <c r="Z39" s="18"/>
      <c r="AA39" s="18"/>
      <c r="AB39" s="58"/>
      <c r="AC39" s="18"/>
      <c r="AD39" s="46">
        <f>SUM(AB39:AC39)</f>
        <v>0</v>
      </c>
      <c r="AE39" s="17"/>
      <c r="AF39" s="18"/>
      <c r="AG39" s="18"/>
      <c r="AH39" s="18"/>
      <c r="AI39" s="18"/>
      <c r="AJ39" s="58"/>
      <c r="AK39" s="18"/>
      <c r="AL39" s="46">
        <f>SUM(AJ39:AK39)</f>
        <v>0</v>
      </c>
      <c r="AM39" s="17"/>
      <c r="AN39" s="18"/>
      <c r="AO39" s="18"/>
      <c r="AP39" s="18"/>
      <c r="AQ39" s="18"/>
      <c r="AR39" s="58"/>
      <c r="AS39" s="18"/>
      <c r="AT39" s="46">
        <f>SUM(AR39:AS39)</f>
        <v>0</v>
      </c>
      <c r="AU39" s="17"/>
      <c r="AV39" s="18"/>
      <c r="AW39" s="18"/>
      <c r="AX39" s="18"/>
      <c r="AY39" s="18"/>
      <c r="AZ39" s="58"/>
      <c r="BA39" s="18"/>
      <c r="BB39" s="46">
        <f>SUM(AZ39:BA39)</f>
        <v>0</v>
      </c>
      <c r="BC39" s="17"/>
      <c r="BD39" s="18"/>
      <c r="BE39" s="18"/>
      <c r="BF39" s="18"/>
      <c r="BG39" s="18"/>
      <c r="BH39" s="58"/>
      <c r="BI39" s="18"/>
      <c r="BJ39" s="46">
        <f>SUM(BH39:BI39)</f>
        <v>0</v>
      </c>
      <c r="BK39" s="17"/>
      <c r="BL39" s="18"/>
      <c r="BM39" s="18"/>
      <c r="BN39" s="18"/>
      <c r="BO39" s="18"/>
      <c r="BP39" s="58"/>
      <c r="BQ39" s="18"/>
      <c r="BR39" s="46">
        <f>SUM(BP39:BQ39)</f>
        <v>0</v>
      </c>
    </row>
    <row r="40" spans="1:70" ht="15" x14ac:dyDescent="0.2">
      <c r="A40" s="32">
        <v>44342</v>
      </c>
      <c r="B40" s="17">
        <f>359+340+366</f>
        <v>1065</v>
      </c>
      <c r="C40" s="18">
        <v>1</v>
      </c>
      <c r="D40" s="18">
        <v>4</v>
      </c>
      <c r="E40" s="18">
        <v>0</v>
      </c>
      <c r="F40" s="19">
        <f t="shared" si="2"/>
        <v>1070</v>
      </c>
      <c r="G40" s="17"/>
      <c r="H40" s="18"/>
      <c r="I40" s="18"/>
      <c r="J40" s="18"/>
      <c r="K40" s="18"/>
      <c r="L40" s="58"/>
      <c r="M40" s="18"/>
      <c r="N40" s="46">
        <f>SUM(L40:M40)</f>
        <v>0</v>
      </c>
      <c r="O40" s="17"/>
      <c r="P40" s="18"/>
      <c r="Q40" s="18"/>
      <c r="R40" s="18"/>
      <c r="S40" s="18"/>
      <c r="T40" s="58"/>
      <c r="U40" s="18"/>
      <c r="V40" s="46">
        <f>SUM(T40:U40)</f>
        <v>0</v>
      </c>
      <c r="W40" s="17"/>
      <c r="X40" s="18"/>
      <c r="Y40" s="18"/>
      <c r="Z40" s="18"/>
      <c r="AA40" s="18"/>
      <c r="AB40" s="58"/>
      <c r="AC40" s="18"/>
      <c r="AD40" s="46">
        <f>SUM(AB40:AC40)</f>
        <v>0</v>
      </c>
      <c r="AE40" s="17"/>
      <c r="AF40" s="18"/>
      <c r="AG40" s="18"/>
      <c r="AH40" s="18"/>
      <c r="AI40" s="18"/>
      <c r="AJ40" s="58"/>
      <c r="AK40" s="18"/>
      <c r="AL40" s="46">
        <f>SUM(AJ40:AK40)</f>
        <v>0</v>
      </c>
      <c r="AM40" s="17"/>
      <c r="AN40" s="18"/>
      <c r="AO40" s="18"/>
      <c r="AP40" s="18"/>
      <c r="AQ40" s="18"/>
      <c r="AR40" s="58"/>
      <c r="AS40" s="18"/>
      <c r="AT40" s="46">
        <f>SUM(AR40:AS40)</f>
        <v>0</v>
      </c>
      <c r="AU40" s="17"/>
      <c r="AV40" s="18"/>
      <c r="AW40" s="18"/>
      <c r="AX40" s="18"/>
      <c r="AY40" s="18"/>
      <c r="AZ40" s="58"/>
      <c r="BA40" s="18"/>
      <c r="BB40" s="46">
        <f>SUM(AZ40:BA40)</f>
        <v>0</v>
      </c>
      <c r="BC40" s="17"/>
      <c r="BD40" s="18"/>
      <c r="BE40" s="18"/>
      <c r="BF40" s="18"/>
      <c r="BG40" s="18"/>
      <c r="BH40" s="58"/>
      <c r="BI40" s="18"/>
      <c r="BJ40" s="46">
        <f>SUM(BH40:BI40)</f>
        <v>0</v>
      </c>
      <c r="BK40" s="17"/>
      <c r="BL40" s="18"/>
      <c r="BM40" s="18"/>
      <c r="BN40" s="18"/>
      <c r="BO40" s="18"/>
      <c r="BP40" s="58"/>
      <c r="BQ40" s="18"/>
      <c r="BR40" s="46">
        <f>SUM(BP40:BQ40)</f>
        <v>0</v>
      </c>
    </row>
    <row r="41" spans="1:70" ht="15" x14ac:dyDescent="0.2">
      <c r="A41" s="32">
        <v>44343</v>
      </c>
      <c r="B41" s="17">
        <f>317+338</f>
        <v>655</v>
      </c>
      <c r="C41" s="18">
        <v>1</v>
      </c>
      <c r="D41" s="18">
        <v>5</v>
      </c>
      <c r="E41" s="18">
        <v>0</v>
      </c>
      <c r="F41" s="19">
        <f t="shared" si="2"/>
        <v>661</v>
      </c>
      <c r="G41" s="17"/>
      <c r="H41" s="18"/>
      <c r="I41" s="18"/>
      <c r="J41" s="18"/>
      <c r="K41" s="18"/>
      <c r="L41" s="58"/>
      <c r="M41" s="18"/>
      <c r="N41" s="46">
        <f>SUM(L41:M41)</f>
        <v>0</v>
      </c>
      <c r="O41" s="17"/>
      <c r="P41" s="18"/>
      <c r="Q41" s="18"/>
      <c r="R41" s="18"/>
      <c r="S41" s="18"/>
      <c r="T41" s="58"/>
      <c r="U41" s="18"/>
      <c r="V41" s="46">
        <f>SUM(T41:U41)</f>
        <v>0</v>
      </c>
      <c r="W41" s="17"/>
      <c r="X41" s="18"/>
      <c r="Y41" s="18"/>
      <c r="Z41" s="18"/>
      <c r="AA41" s="18"/>
      <c r="AB41" s="58"/>
      <c r="AC41" s="18"/>
      <c r="AD41" s="46">
        <f>SUM(AB41:AC41)</f>
        <v>0</v>
      </c>
      <c r="AE41" s="17"/>
      <c r="AF41" s="18"/>
      <c r="AG41" s="18"/>
      <c r="AH41" s="18"/>
      <c r="AI41" s="18"/>
      <c r="AJ41" s="58"/>
      <c r="AK41" s="18"/>
      <c r="AL41" s="46">
        <f>SUM(AJ41:AK41)</f>
        <v>0</v>
      </c>
      <c r="AM41" s="17"/>
      <c r="AN41" s="18"/>
      <c r="AO41" s="18"/>
      <c r="AP41" s="18"/>
      <c r="AQ41" s="18"/>
      <c r="AR41" s="58"/>
      <c r="AS41" s="18"/>
      <c r="AT41" s="46">
        <f>SUM(AR41:AS41)</f>
        <v>0</v>
      </c>
      <c r="AU41" s="17"/>
      <c r="AV41" s="18"/>
      <c r="AW41" s="18"/>
      <c r="AX41" s="18"/>
      <c r="AY41" s="18"/>
      <c r="AZ41" s="58"/>
      <c r="BA41" s="18"/>
      <c r="BB41" s="46">
        <f>SUM(AZ41:BA41)</f>
        <v>0</v>
      </c>
      <c r="BC41" s="17"/>
      <c r="BD41" s="18"/>
      <c r="BE41" s="18"/>
      <c r="BF41" s="18"/>
      <c r="BG41" s="18"/>
      <c r="BH41" s="58"/>
      <c r="BI41" s="18"/>
      <c r="BJ41" s="46">
        <f>SUM(BH41:BI41)</f>
        <v>0</v>
      </c>
      <c r="BK41" s="17"/>
      <c r="BL41" s="18"/>
      <c r="BM41" s="18"/>
      <c r="BN41" s="18"/>
      <c r="BO41" s="18"/>
      <c r="BP41" s="58"/>
      <c r="BQ41" s="18"/>
      <c r="BR41" s="46">
        <f>SUM(BP41:BQ41)</f>
        <v>0</v>
      </c>
    </row>
    <row r="42" spans="1:70" ht="15" x14ac:dyDescent="0.2">
      <c r="A42" s="32">
        <v>44344</v>
      </c>
      <c r="B42" s="17">
        <f>345+355+340</f>
        <v>1040</v>
      </c>
      <c r="C42" s="18">
        <v>3</v>
      </c>
      <c r="D42" s="18">
        <v>10</v>
      </c>
      <c r="E42" s="18">
        <v>0</v>
      </c>
      <c r="F42" s="19">
        <f t="shared" si="2"/>
        <v>1053</v>
      </c>
      <c r="G42" s="17"/>
      <c r="H42" s="18"/>
      <c r="I42" s="18"/>
      <c r="J42" s="18"/>
      <c r="K42" s="18"/>
      <c r="L42" s="58"/>
      <c r="M42" s="18"/>
      <c r="N42" s="46">
        <f>SUM(L42:M42)</f>
        <v>0</v>
      </c>
      <c r="O42" s="17"/>
      <c r="P42" s="18"/>
      <c r="Q42" s="18"/>
      <c r="R42" s="18"/>
      <c r="S42" s="18"/>
      <c r="T42" s="58"/>
      <c r="U42" s="18"/>
      <c r="V42" s="46">
        <f>SUM(T42:U42)</f>
        <v>0</v>
      </c>
      <c r="W42" s="17"/>
      <c r="X42" s="18"/>
      <c r="Y42" s="18"/>
      <c r="Z42" s="18"/>
      <c r="AA42" s="18"/>
      <c r="AB42" s="58"/>
      <c r="AC42" s="18"/>
      <c r="AD42" s="46">
        <f>SUM(AB42:AC42)</f>
        <v>0</v>
      </c>
      <c r="AE42" s="17"/>
      <c r="AF42" s="18"/>
      <c r="AG42" s="18"/>
      <c r="AH42" s="18"/>
      <c r="AI42" s="18"/>
      <c r="AJ42" s="58"/>
      <c r="AK42" s="18"/>
      <c r="AL42" s="46">
        <f>SUM(AJ42:AK42)</f>
        <v>0</v>
      </c>
      <c r="AM42" s="17"/>
      <c r="AN42" s="18"/>
      <c r="AO42" s="18"/>
      <c r="AP42" s="18"/>
      <c r="AQ42" s="18"/>
      <c r="AR42" s="58"/>
      <c r="AS42" s="18"/>
      <c r="AT42" s="46">
        <f>SUM(AR42:AS42)</f>
        <v>0</v>
      </c>
      <c r="AU42" s="17"/>
      <c r="AV42" s="18"/>
      <c r="AW42" s="18"/>
      <c r="AX42" s="18"/>
      <c r="AY42" s="18"/>
      <c r="AZ42" s="58"/>
      <c r="BA42" s="18"/>
      <c r="BB42" s="46">
        <f>SUM(AZ42:BA42)</f>
        <v>0</v>
      </c>
      <c r="BC42" s="17"/>
      <c r="BD42" s="18"/>
      <c r="BE42" s="18"/>
      <c r="BF42" s="18"/>
      <c r="BG42" s="18"/>
      <c r="BH42" s="58"/>
      <c r="BI42" s="18"/>
      <c r="BJ42" s="46">
        <f>SUM(BH42:BI42)</f>
        <v>0</v>
      </c>
      <c r="BK42" s="17"/>
      <c r="BL42" s="18"/>
      <c r="BM42" s="18"/>
      <c r="BN42" s="18"/>
      <c r="BO42" s="18"/>
      <c r="BP42" s="58"/>
      <c r="BQ42" s="18"/>
      <c r="BR42" s="46">
        <f>SUM(BP42:BQ42)</f>
        <v>0</v>
      </c>
    </row>
    <row r="43" spans="1:70" ht="15" x14ac:dyDescent="0.2">
      <c r="A43" s="32">
        <v>44345</v>
      </c>
      <c r="B43" s="17">
        <f>358+332+350</f>
        <v>1040</v>
      </c>
      <c r="C43" s="18">
        <v>2</v>
      </c>
      <c r="D43" s="18">
        <v>3</v>
      </c>
      <c r="E43" s="18">
        <v>0</v>
      </c>
      <c r="F43" s="19">
        <f t="shared" ref="F43" si="4">SUM(B43:E43)</f>
        <v>1045</v>
      </c>
      <c r="G43" s="17"/>
      <c r="H43" s="18"/>
      <c r="I43" s="18"/>
      <c r="J43" s="18"/>
      <c r="K43" s="18"/>
      <c r="L43" s="58"/>
      <c r="M43" s="18"/>
      <c r="N43" s="46">
        <f>SUM(L43:M43)</f>
        <v>0</v>
      </c>
      <c r="O43" s="17"/>
      <c r="P43" s="18"/>
      <c r="Q43" s="18"/>
      <c r="R43" s="18"/>
      <c r="S43" s="18"/>
      <c r="T43" s="58"/>
      <c r="U43" s="18"/>
      <c r="V43" s="46">
        <f>SUM(T43:U43)</f>
        <v>0</v>
      </c>
      <c r="W43" s="17"/>
      <c r="X43" s="18"/>
      <c r="Y43" s="18"/>
      <c r="Z43" s="18"/>
      <c r="AA43" s="18"/>
      <c r="AB43" s="58"/>
      <c r="AC43" s="18"/>
      <c r="AD43" s="46">
        <f>SUM(AB43:AC43)</f>
        <v>0</v>
      </c>
      <c r="AE43" s="17"/>
      <c r="AF43" s="18"/>
      <c r="AG43" s="18"/>
      <c r="AH43" s="18"/>
      <c r="AI43" s="18"/>
      <c r="AJ43" s="58"/>
      <c r="AK43" s="18"/>
      <c r="AL43" s="46">
        <f>SUM(AJ43:AK43)</f>
        <v>0</v>
      </c>
      <c r="AM43" s="17"/>
      <c r="AN43" s="18"/>
      <c r="AO43" s="18"/>
      <c r="AP43" s="18"/>
      <c r="AQ43" s="18"/>
      <c r="AR43" s="58"/>
      <c r="AS43" s="18"/>
      <c r="AT43" s="46">
        <f>SUM(AR43:AS43)</f>
        <v>0</v>
      </c>
      <c r="AU43" s="17"/>
      <c r="AV43" s="18"/>
      <c r="AW43" s="18"/>
      <c r="AX43" s="18"/>
      <c r="AY43" s="18"/>
      <c r="AZ43" s="58"/>
      <c r="BA43" s="18"/>
      <c r="BB43" s="46">
        <f>SUM(AZ43:BA43)</f>
        <v>0</v>
      </c>
      <c r="BC43" s="17"/>
      <c r="BD43" s="18"/>
      <c r="BE43" s="18"/>
      <c r="BF43" s="18"/>
      <c r="BG43" s="18"/>
      <c r="BH43" s="58"/>
      <c r="BI43" s="18"/>
      <c r="BJ43" s="46">
        <f>SUM(BH43:BI43)</f>
        <v>0</v>
      </c>
      <c r="BK43" s="17"/>
      <c r="BL43" s="18"/>
      <c r="BM43" s="18"/>
      <c r="BN43" s="18"/>
      <c r="BO43" s="18"/>
      <c r="BP43" s="58"/>
      <c r="BQ43" s="18"/>
      <c r="BR43" s="46">
        <f>SUM(BP43:BQ43)</f>
        <v>0</v>
      </c>
    </row>
    <row r="44" spans="1:70" ht="15" x14ac:dyDescent="0.2">
      <c r="A44" s="34">
        <v>44346</v>
      </c>
      <c r="B44" s="22"/>
      <c r="C44" s="15"/>
      <c r="D44" s="23"/>
      <c r="E44" s="23"/>
      <c r="F44" s="13"/>
      <c r="G44" s="22"/>
      <c r="H44" s="15"/>
      <c r="I44" s="23"/>
      <c r="J44" s="23"/>
      <c r="K44" s="23"/>
      <c r="L44" s="60"/>
      <c r="M44" s="15"/>
      <c r="N44" s="12"/>
      <c r="O44" s="22"/>
      <c r="P44" s="15"/>
      <c r="Q44" s="23"/>
      <c r="R44" s="23"/>
      <c r="S44" s="23"/>
      <c r="T44" s="60"/>
      <c r="U44" s="15"/>
      <c r="V44" s="12"/>
      <c r="W44" s="22"/>
      <c r="X44" s="15"/>
      <c r="Y44" s="23"/>
      <c r="Z44" s="23"/>
      <c r="AA44" s="23"/>
      <c r="AB44" s="60"/>
      <c r="AC44" s="15"/>
      <c r="AD44" s="12"/>
      <c r="AE44" s="22"/>
      <c r="AF44" s="15"/>
      <c r="AG44" s="23"/>
      <c r="AH44" s="23"/>
      <c r="AI44" s="23"/>
      <c r="AJ44" s="60"/>
      <c r="AK44" s="15"/>
      <c r="AL44" s="12"/>
      <c r="AM44" s="22"/>
      <c r="AN44" s="15"/>
      <c r="AO44" s="23"/>
      <c r="AP44" s="23"/>
      <c r="AQ44" s="23"/>
      <c r="AR44" s="60"/>
      <c r="AS44" s="15"/>
      <c r="AT44" s="12"/>
      <c r="AU44" s="22"/>
      <c r="AV44" s="15"/>
      <c r="AW44" s="23"/>
      <c r="AX44" s="23"/>
      <c r="AY44" s="23"/>
      <c r="AZ44" s="60"/>
      <c r="BA44" s="15"/>
      <c r="BB44" s="12"/>
      <c r="BC44" s="22"/>
      <c r="BD44" s="15"/>
      <c r="BE44" s="23"/>
      <c r="BF44" s="23"/>
      <c r="BG44" s="23"/>
      <c r="BH44" s="60"/>
      <c r="BI44" s="15"/>
      <c r="BJ44" s="12"/>
      <c r="BK44" s="22"/>
      <c r="BL44" s="15"/>
      <c r="BM44" s="23"/>
      <c r="BN44" s="23"/>
      <c r="BO44" s="23"/>
      <c r="BP44" s="60"/>
      <c r="BQ44" s="15"/>
      <c r="BR44" s="12"/>
    </row>
    <row r="45" spans="1:70" ht="15" x14ac:dyDescent="0.2">
      <c r="A45" s="34">
        <v>44347</v>
      </c>
      <c r="B45" s="22"/>
      <c r="C45" s="15"/>
      <c r="D45" s="23"/>
      <c r="E45" s="23"/>
      <c r="F45" s="13"/>
      <c r="G45" s="22"/>
      <c r="H45" s="15"/>
      <c r="I45" s="23"/>
      <c r="J45" s="23"/>
      <c r="K45" s="23"/>
      <c r="L45" s="60"/>
      <c r="M45" s="15"/>
      <c r="N45" s="12"/>
      <c r="O45" s="22"/>
      <c r="P45" s="15"/>
      <c r="Q45" s="23"/>
      <c r="R45" s="23"/>
      <c r="S45" s="23"/>
      <c r="T45" s="60"/>
      <c r="U45" s="15"/>
      <c r="V45" s="12"/>
      <c r="W45" s="22"/>
      <c r="X45" s="15"/>
      <c r="Y45" s="23"/>
      <c r="Z45" s="23"/>
      <c r="AA45" s="23"/>
      <c r="AB45" s="60"/>
      <c r="AC45" s="15"/>
      <c r="AD45" s="12"/>
      <c r="AE45" s="22"/>
      <c r="AF45" s="15"/>
      <c r="AG45" s="23"/>
      <c r="AH45" s="23"/>
      <c r="AI45" s="23"/>
      <c r="AJ45" s="60"/>
      <c r="AK45" s="15"/>
      <c r="AL45" s="12"/>
      <c r="AM45" s="22"/>
      <c r="AN45" s="15"/>
      <c r="AO45" s="23"/>
      <c r="AP45" s="23"/>
      <c r="AQ45" s="23"/>
      <c r="AR45" s="60"/>
      <c r="AS45" s="15"/>
      <c r="AT45" s="12"/>
      <c r="AU45" s="22"/>
      <c r="AV45" s="15"/>
      <c r="AW45" s="23"/>
      <c r="AX45" s="23"/>
      <c r="AY45" s="23"/>
      <c r="AZ45" s="60"/>
      <c r="BA45" s="15"/>
      <c r="BB45" s="12"/>
      <c r="BC45" s="22"/>
      <c r="BD45" s="15"/>
      <c r="BE45" s="23"/>
      <c r="BF45" s="23"/>
      <c r="BG45" s="23"/>
      <c r="BH45" s="60"/>
      <c r="BI45" s="15"/>
      <c r="BJ45" s="12"/>
      <c r="BK45" s="22"/>
      <c r="BL45" s="15"/>
      <c r="BM45" s="23"/>
      <c r="BN45" s="23"/>
      <c r="BO45" s="23"/>
      <c r="BP45" s="60"/>
      <c r="BQ45" s="15"/>
      <c r="BR45" s="12"/>
    </row>
    <row r="46" spans="1:70" ht="15" x14ac:dyDescent="0.2">
      <c r="A46" s="32">
        <v>44348</v>
      </c>
      <c r="B46" s="17">
        <f>336+340</f>
        <v>676</v>
      </c>
      <c r="C46" s="18">
        <v>0</v>
      </c>
      <c r="D46" s="18">
        <v>18</v>
      </c>
      <c r="E46" s="18">
        <v>0</v>
      </c>
      <c r="F46" s="19">
        <f t="shared" si="2"/>
        <v>694</v>
      </c>
      <c r="G46" s="17"/>
      <c r="H46" s="18"/>
      <c r="I46" s="18"/>
      <c r="J46" s="18"/>
      <c r="K46" s="18"/>
      <c r="L46" s="58"/>
      <c r="M46" s="18"/>
      <c r="N46" s="46">
        <f t="shared" ref="N46:N51" si="5">SUM(L46:M46)</f>
        <v>0</v>
      </c>
      <c r="O46" s="17"/>
      <c r="P46" s="18"/>
      <c r="Q46" s="18"/>
      <c r="R46" s="18"/>
      <c r="S46" s="18"/>
      <c r="T46" s="58"/>
      <c r="U46" s="18"/>
      <c r="V46" s="46">
        <f t="shared" ref="V46:V51" si="6">SUM(T46:U46)</f>
        <v>0</v>
      </c>
      <c r="W46" s="17"/>
      <c r="X46" s="18"/>
      <c r="Y46" s="18"/>
      <c r="Z46" s="18"/>
      <c r="AA46" s="18"/>
      <c r="AB46" s="58"/>
      <c r="AC46" s="18"/>
      <c r="AD46" s="46">
        <f t="shared" ref="AD46:AD51" si="7">SUM(AB46:AC46)</f>
        <v>0</v>
      </c>
      <c r="AE46" s="17"/>
      <c r="AF46" s="18"/>
      <c r="AG46" s="18"/>
      <c r="AH46" s="18"/>
      <c r="AI46" s="18"/>
      <c r="AJ46" s="58"/>
      <c r="AK46" s="18"/>
      <c r="AL46" s="46">
        <f t="shared" ref="AL46:AL51" si="8">SUM(AJ46:AK46)</f>
        <v>0</v>
      </c>
      <c r="AM46" s="17"/>
      <c r="AN46" s="18"/>
      <c r="AO46" s="18"/>
      <c r="AP46" s="18"/>
      <c r="AQ46" s="18"/>
      <c r="AR46" s="58"/>
      <c r="AS46" s="18"/>
      <c r="AT46" s="46">
        <f t="shared" ref="AT46:AT51" si="9">SUM(AR46:AS46)</f>
        <v>0</v>
      </c>
      <c r="AU46" s="17"/>
      <c r="AV46" s="18"/>
      <c r="AW46" s="18"/>
      <c r="AX46" s="18"/>
      <c r="AY46" s="18"/>
      <c r="AZ46" s="58"/>
      <c r="BA46" s="18"/>
      <c r="BB46" s="46">
        <f t="shared" ref="BB46:BB51" si="10">SUM(AZ46:BA46)</f>
        <v>0</v>
      </c>
      <c r="BC46" s="17"/>
      <c r="BD46" s="18"/>
      <c r="BE46" s="18"/>
      <c r="BF46" s="18"/>
      <c r="BG46" s="18"/>
      <c r="BH46" s="58"/>
      <c r="BI46" s="18"/>
      <c r="BJ46" s="46">
        <f t="shared" ref="BJ46:BJ51" si="11">SUM(BH46:BI46)</f>
        <v>0</v>
      </c>
      <c r="BK46" s="17"/>
      <c r="BL46" s="18"/>
      <c r="BM46" s="18"/>
      <c r="BN46" s="18"/>
      <c r="BO46" s="18"/>
      <c r="BP46" s="58"/>
      <c r="BQ46" s="18"/>
      <c r="BR46" s="46">
        <f t="shared" ref="BR46:BR51" si="12">SUM(BP46:BQ46)</f>
        <v>0</v>
      </c>
    </row>
    <row r="47" spans="1:70" ht="15" x14ac:dyDescent="0.2">
      <c r="A47" s="32">
        <v>44349</v>
      </c>
      <c r="B47" s="24">
        <f>380+279+334+345+351+343+336</f>
        <v>2368</v>
      </c>
      <c r="C47" s="25">
        <v>10</v>
      </c>
      <c r="D47" s="25">
        <v>12</v>
      </c>
      <c r="E47" s="18">
        <v>0</v>
      </c>
      <c r="F47" s="19">
        <f>SUM(B47:E47)</f>
        <v>2390</v>
      </c>
      <c r="G47" s="24"/>
      <c r="H47" s="25"/>
      <c r="I47" s="25"/>
      <c r="J47" s="18"/>
      <c r="K47" s="18"/>
      <c r="L47" s="61"/>
      <c r="M47" s="25"/>
      <c r="N47" s="46">
        <f t="shared" si="5"/>
        <v>0</v>
      </c>
      <c r="O47" s="24"/>
      <c r="P47" s="25"/>
      <c r="Q47" s="25"/>
      <c r="R47" s="18"/>
      <c r="S47" s="18"/>
      <c r="T47" s="61"/>
      <c r="U47" s="25"/>
      <c r="V47" s="46">
        <f t="shared" si="6"/>
        <v>0</v>
      </c>
      <c r="W47" s="24"/>
      <c r="X47" s="25"/>
      <c r="Y47" s="25"/>
      <c r="Z47" s="18"/>
      <c r="AA47" s="18"/>
      <c r="AB47" s="61"/>
      <c r="AC47" s="25"/>
      <c r="AD47" s="46">
        <f t="shared" si="7"/>
        <v>0</v>
      </c>
      <c r="AE47" s="24"/>
      <c r="AF47" s="25"/>
      <c r="AG47" s="25"/>
      <c r="AH47" s="18"/>
      <c r="AI47" s="18"/>
      <c r="AJ47" s="61"/>
      <c r="AK47" s="25"/>
      <c r="AL47" s="46">
        <f t="shared" si="8"/>
        <v>0</v>
      </c>
      <c r="AM47" s="24"/>
      <c r="AN47" s="25"/>
      <c r="AO47" s="25"/>
      <c r="AP47" s="18"/>
      <c r="AQ47" s="18"/>
      <c r="AR47" s="61"/>
      <c r="AS47" s="25"/>
      <c r="AT47" s="46">
        <f t="shared" si="9"/>
        <v>0</v>
      </c>
      <c r="AU47" s="24"/>
      <c r="AV47" s="25"/>
      <c r="AW47" s="25"/>
      <c r="AX47" s="18"/>
      <c r="AY47" s="18"/>
      <c r="AZ47" s="61"/>
      <c r="BA47" s="25"/>
      <c r="BB47" s="46">
        <f t="shared" si="10"/>
        <v>0</v>
      </c>
      <c r="BC47" s="24"/>
      <c r="BD47" s="25"/>
      <c r="BE47" s="25"/>
      <c r="BF47" s="18"/>
      <c r="BG47" s="18"/>
      <c r="BH47" s="61"/>
      <c r="BI47" s="25"/>
      <c r="BJ47" s="46">
        <f t="shared" si="11"/>
        <v>0</v>
      </c>
      <c r="BK47" s="24"/>
      <c r="BL47" s="25"/>
      <c r="BM47" s="25"/>
      <c r="BN47" s="18"/>
      <c r="BO47" s="18"/>
      <c r="BP47" s="61"/>
      <c r="BQ47" s="25"/>
      <c r="BR47" s="46">
        <f t="shared" si="12"/>
        <v>0</v>
      </c>
    </row>
    <row r="48" spans="1:70" ht="15" x14ac:dyDescent="0.2">
      <c r="A48" s="32">
        <v>44350</v>
      </c>
      <c r="B48" s="17">
        <f>488+347</f>
        <v>835</v>
      </c>
      <c r="C48" s="18">
        <v>1</v>
      </c>
      <c r="D48" s="18">
        <v>0</v>
      </c>
      <c r="E48" s="18">
        <v>0</v>
      </c>
      <c r="F48" s="19">
        <f t="shared" si="2"/>
        <v>836</v>
      </c>
      <c r="G48" s="17"/>
      <c r="H48" s="18"/>
      <c r="I48" s="18"/>
      <c r="J48" s="18"/>
      <c r="K48" s="18"/>
      <c r="L48" s="58"/>
      <c r="M48" s="18"/>
      <c r="N48" s="46">
        <f t="shared" si="5"/>
        <v>0</v>
      </c>
      <c r="O48" s="17"/>
      <c r="P48" s="18"/>
      <c r="Q48" s="18"/>
      <c r="R48" s="18"/>
      <c r="S48" s="18"/>
      <c r="T48" s="58"/>
      <c r="U48" s="18"/>
      <c r="V48" s="46">
        <f t="shared" si="6"/>
        <v>0</v>
      </c>
      <c r="W48" s="17"/>
      <c r="X48" s="18"/>
      <c r="Y48" s="18"/>
      <c r="Z48" s="18"/>
      <c r="AA48" s="18"/>
      <c r="AB48" s="58"/>
      <c r="AC48" s="18"/>
      <c r="AD48" s="46">
        <f t="shared" si="7"/>
        <v>0</v>
      </c>
      <c r="AE48" s="17"/>
      <c r="AF48" s="18"/>
      <c r="AG48" s="18"/>
      <c r="AH48" s="18"/>
      <c r="AI48" s="18"/>
      <c r="AJ48" s="58"/>
      <c r="AK48" s="18"/>
      <c r="AL48" s="46">
        <f t="shared" si="8"/>
        <v>0</v>
      </c>
      <c r="AM48" s="17"/>
      <c r="AN48" s="18"/>
      <c r="AO48" s="18"/>
      <c r="AP48" s="18"/>
      <c r="AQ48" s="18"/>
      <c r="AR48" s="58"/>
      <c r="AS48" s="18"/>
      <c r="AT48" s="46">
        <f t="shared" si="9"/>
        <v>0</v>
      </c>
      <c r="AU48" s="17"/>
      <c r="AV48" s="18"/>
      <c r="AW48" s="18"/>
      <c r="AX48" s="18"/>
      <c r="AY48" s="18"/>
      <c r="AZ48" s="58"/>
      <c r="BA48" s="18"/>
      <c r="BB48" s="46">
        <f t="shared" si="10"/>
        <v>0</v>
      </c>
      <c r="BC48" s="17"/>
      <c r="BD48" s="18"/>
      <c r="BE48" s="18"/>
      <c r="BF48" s="18"/>
      <c r="BG48" s="18"/>
      <c r="BH48" s="58"/>
      <c r="BI48" s="18"/>
      <c r="BJ48" s="46">
        <f t="shared" si="11"/>
        <v>0</v>
      </c>
      <c r="BK48" s="17"/>
      <c r="BL48" s="18"/>
      <c r="BM48" s="18"/>
      <c r="BN48" s="18"/>
      <c r="BO48" s="18"/>
      <c r="BP48" s="58"/>
      <c r="BQ48" s="18"/>
      <c r="BR48" s="46">
        <f t="shared" si="12"/>
        <v>0</v>
      </c>
    </row>
    <row r="49" spans="1:70" ht="15" x14ac:dyDescent="0.2">
      <c r="A49" s="32">
        <v>44351</v>
      </c>
      <c r="B49" s="17">
        <v>2</v>
      </c>
      <c r="C49" s="18">
        <v>0</v>
      </c>
      <c r="D49" s="18">
        <v>0</v>
      </c>
      <c r="E49" s="18">
        <v>0</v>
      </c>
      <c r="F49" s="19">
        <f t="shared" si="2"/>
        <v>2</v>
      </c>
      <c r="G49" s="17"/>
      <c r="H49" s="18"/>
      <c r="I49" s="18"/>
      <c r="J49" s="18"/>
      <c r="K49" s="18"/>
      <c r="L49" s="58"/>
      <c r="M49" s="18"/>
      <c r="N49" s="46">
        <f t="shared" si="5"/>
        <v>0</v>
      </c>
      <c r="O49" s="17"/>
      <c r="P49" s="18"/>
      <c r="Q49" s="18"/>
      <c r="R49" s="18"/>
      <c r="S49" s="18"/>
      <c r="T49" s="58"/>
      <c r="U49" s="18"/>
      <c r="V49" s="46">
        <f t="shared" si="6"/>
        <v>0</v>
      </c>
      <c r="W49" s="17"/>
      <c r="X49" s="18"/>
      <c r="Y49" s="18"/>
      <c r="Z49" s="18"/>
      <c r="AA49" s="18"/>
      <c r="AB49" s="58"/>
      <c r="AC49" s="18"/>
      <c r="AD49" s="46">
        <f t="shared" si="7"/>
        <v>0</v>
      </c>
      <c r="AE49" s="17"/>
      <c r="AF49" s="18"/>
      <c r="AG49" s="18"/>
      <c r="AH49" s="18"/>
      <c r="AI49" s="18"/>
      <c r="AJ49" s="58"/>
      <c r="AK49" s="18"/>
      <c r="AL49" s="46">
        <f t="shared" si="8"/>
        <v>0</v>
      </c>
      <c r="AM49" s="17"/>
      <c r="AN49" s="18"/>
      <c r="AO49" s="18"/>
      <c r="AP49" s="18"/>
      <c r="AQ49" s="18"/>
      <c r="AR49" s="58"/>
      <c r="AS49" s="18"/>
      <c r="AT49" s="46">
        <f t="shared" si="9"/>
        <v>0</v>
      </c>
      <c r="AU49" s="17"/>
      <c r="AV49" s="18"/>
      <c r="AW49" s="18"/>
      <c r="AX49" s="18"/>
      <c r="AY49" s="18"/>
      <c r="AZ49" s="58"/>
      <c r="BA49" s="18"/>
      <c r="BB49" s="46">
        <f t="shared" si="10"/>
        <v>0</v>
      </c>
      <c r="BC49" s="17"/>
      <c r="BD49" s="18"/>
      <c r="BE49" s="18"/>
      <c r="BF49" s="18"/>
      <c r="BG49" s="18"/>
      <c r="BH49" s="58"/>
      <c r="BI49" s="18"/>
      <c r="BJ49" s="46">
        <f t="shared" si="11"/>
        <v>0</v>
      </c>
      <c r="BK49" s="17"/>
      <c r="BL49" s="18"/>
      <c r="BM49" s="18"/>
      <c r="BN49" s="18"/>
      <c r="BO49" s="18"/>
      <c r="BP49" s="58"/>
      <c r="BQ49" s="18"/>
      <c r="BR49" s="46">
        <f t="shared" si="12"/>
        <v>0</v>
      </c>
    </row>
    <row r="50" spans="1:70" ht="15" x14ac:dyDescent="0.2">
      <c r="A50" s="32">
        <v>44352</v>
      </c>
      <c r="B50" s="17">
        <v>0</v>
      </c>
      <c r="C50" s="18">
        <v>0</v>
      </c>
      <c r="D50" s="18">
        <v>0</v>
      </c>
      <c r="E50" s="18">
        <v>0</v>
      </c>
      <c r="F50" s="19">
        <f t="shared" si="2"/>
        <v>0</v>
      </c>
      <c r="G50" s="17"/>
      <c r="H50" s="18"/>
      <c r="I50" s="18"/>
      <c r="J50" s="18"/>
      <c r="K50" s="18"/>
      <c r="L50" s="58"/>
      <c r="M50" s="18"/>
      <c r="N50" s="46">
        <f t="shared" si="5"/>
        <v>0</v>
      </c>
      <c r="O50" s="17"/>
      <c r="P50" s="18"/>
      <c r="Q50" s="18"/>
      <c r="R50" s="18"/>
      <c r="S50" s="18"/>
      <c r="T50" s="58"/>
      <c r="U50" s="18"/>
      <c r="V50" s="46">
        <f t="shared" si="6"/>
        <v>0</v>
      </c>
      <c r="W50" s="17"/>
      <c r="X50" s="18"/>
      <c r="Y50" s="18"/>
      <c r="Z50" s="18"/>
      <c r="AA50" s="18"/>
      <c r="AB50" s="58"/>
      <c r="AC50" s="18"/>
      <c r="AD50" s="46">
        <f t="shared" si="7"/>
        <v>0</v>
      </c>
      <c r="AE50" s="17"/>
      <c r="AF50" s="18"/>
      <c r="AG50" s="18"/>
      <c r="AH50" s="18"/>
      <c r="AI50" s="18"/>
      <c r="AJ50" s="58"/>
      <c r="AK50" s="18"/>
      <c r="AL50" s="46">
        <f t="shared" si="8"/>
        <v>0</v>
      </c>
      <c r="AM50" s="17"/>
      <c r="AN50" s="18"/>
      <c r="AO50" s="18"/>
      <c r="AP50" s="18"/>
      <c r="AQ50" s="18"/>
      <c r="AR50" s="58"/>
      <c r="AS50" s="18"/>
      <c r="AT50" s="46">
        <f t="shared" si="9"/>
        <v>0</v>
      </c>
      <c r="AU50" s="17"/>
      <c r="AV50" s="18"/>
      <c r="AW50" s="18"/>
      <c r="AX50" s="18"/>
      <c r="AY50" s="18"/>
      <c r="AZ50" s="58"/>
      <c r="BA50" s="18"/>
      <c r="BB50" s="46">
        <f t="shared" si="10"/>
        <v>0</v>
      </c>
      <c r="BC50" s="17"/>
      <c r="BD50" s="18"/>
      <c r="BE50" s="18"/>
      <c r="BF50" s="18"/>
      <c r="BG50" s="18"/>
      <c r="BH50" s="58"/>
      <c r="BI50" s="18"/>
      <c r="BJ50" s="46">
        <f t="shared" si="11"/>
        <v>0</v>
      </c>
      <c r="BK50" s="17"/>
      <c r="BL50" s="18"/>
      <c r="BM50" s="18"/>
      <c r="BN50" s="18"/>
      <c r="BO50" s="18"/>
      <c r="BP50" s="58"/>
      <c r="BQ50" s="18"/>
      <c r="BR50" s="46">
        <f t="shared" si="12"/>
        <v>0</v>
      </c>
    </row>
    <row r="51" spans="1:70" ht="15" x14ac:dyDescent="0.2">
      <c r="A51" s="32">
        <v>44353</v>
      </c>
      <c r="B51" s="17">
        <v>0</v>
      </c>
      <c r="C51" s="18">
        <v>0</v>
      </c>
      <c r="D51" s="18">
        <v>0</v>
      </c>
      <c r="E51" s="18">
        <v>0</v>
      </c>
      <c r="F51" s="19">
        <f t="shared" si="2"/>
        <v>0</v>
      </c>
      <c r="G51" s="17"/>
      <c r="H51" s="18"/>
      <c r="I51" s="18"/>
      <c r="J51" s="18"/>
      <c r="K51" s="18"/>
      <c r="L51" s="58"/>
      <c r="M51" s="18"/>
      <c r="N51" s="46">
        <f t="shared" si="5"/>
        <v>0</v>
      </c>
      <c r="O51" s="17"/>
      <c r="P51" s="18"/>
      <c r="Q51" s="18"/>
      <c r="R51" s="18"/>
      <c r="S51" s="18"/>
      <c r="T51" s="58"/>
      <c r="U51" s="18"/>
      <c r="V51" s="46">
        <f t="shared" si="6"/>
        <v>0</v>
      </c>
      <c r="W51" s="17"/>
      <c r="X51" s="18"/>
      <c r="Y51" s="18"/>
      <c r="Z51" s="18"/>
      <c r="AA51" s="18"/>
      <c r="AB51" s="58"/>
      <c r="AC51" s="18"/>
      <c r="AD51" s="46">
        <f t="shared" si="7"/>
        <v>0</v>
      </c>
      <c r="AE51" s="17"/>
      <c r="AF51" s="18"/>
      <c r="AG51" s="18"/>
      <c r="AH51" s="18"/>
      <c r="AI51" s="18"/>
      <c r="AJ51" s="58"/>
      <c r="AK51" s="18"/>
      <c r="AL51" s="46">
        <f t="shared" si="8"/>
        <v>0</v>
      </c>
      <c r="AM51" s="17"/>
      <c r="AN51" s="18"/>
      <c r="AO51" s="18"/>
      <c r="AP51" s="18"/>
      <c r="AQ51" s="18"/>
      <c r="AR51" s="58"/>
      <c r="AS51" s="18"/>
      <c r="AT51" s="46">
        <f t="shared" si="9"/>
        <v>0</v>
      </c>
      <c r="AU51" s="17"/>
      <c r="AV51" s="18"/>
      <c r="AW51" s="18"/>
      <c r="AX51" s="18"/>
      <c r="AY51" s="18"/>
      <c r="AZ51" s="58"/>
      <c r="BA51" s="18"/>
      <c r="BB51" s="46">
        <f t="shared" si="10"/>
        <v>0</v>
      </c>
      <c r="BC51" s="17"/>
      <c r="BD51" s="18"/>
      <c r="BE51" s="18"/>
      <c r="BF51" s="18"/>
      <c r="BG51" s="18"/>
      <c r="BH51" s="58"/>
      <c r="BI51" s="18"/>
      <c r="BJ51" s="46">
        <f t="shared" si="11"/>
        <v>0</v>
      </c>
      <c r="BK51" s="17"/>
      <c r="BL51" s="18"/>
      <c r="BM51" s="18"/>
      <c r="BN51" s="18"/>
      <c r="BO51" s="18"/>
      <c r="BP51" s="58"/>
      <c r="BQ51" s="18"/>
      <c r="BR51" s="46">
        <f t="shared" si="12"/>
        <v>0</v>
      </c>
    </row>
    <row r="52" spans="1:70" ht="15" x14ac:dyDescent="0.2">
      <c r="A52" s="34">
        <v>44354</v>
      </c>
      <c r="B52" s="14"/>
      <c r="C52" s="15"/>
      <c r="D52" s="15"/>
      <c r="E52" s="15"/>
      <c r="F52" s="16"/>
      <c r="G52" s="14"/>
      <c r="H52" s="15"/>
      <c r="I52" s="15"/>
      <c r="J52" s="15"/>
      <c r="K52" s="15"/>
      <c r="L52" s="57"/>
      <c r="M52" s="15"/>
      <c r="N52" s="15"/>
      <c r="O52" s="14"/>
      <c r="P52" s="15"/>
      <c r="Q52" s="15"/>
      <c r="R52" s="15"/>
      <c r="S52" s="15"/>
      <c r="T52" s="57"/>
      <c r="U52" s="15"/>
      <c r="V52" s="15"/>
      <c r="W52" s="14"/>
      <c r="X52" s="15"/>
      <c r="Y52" s="15"/>
      <c r="Z52" s="15"/>
      <c r="AA52" s="15"/>
      <c r="AB52" s="57"/>
      <c r="AC52" s="15"/>
      <c r="AD52" s="15"/>
      <c r="AE52" s="14"/>
      <c r="AF52" s="15"/>
      <c r="AG52" s="15"/>
      <c r="AH52" s="15"/>
      <c r="AI52" s="15"/>
      <c r="AJ52" s="57"/>
      <c r="AK52" s="15"/>
      <c r="AL52" s="15"/>
      <c r="AM52" s="14"/>
      <c r="AN52" s="15"/>
      <c r="AO52" s="15"/>
      <c r="AP52" s="15"/>
      <c r="AQ52" s="15"/>
      <c r="AR52" s="57"/>
      <c r="AS52" s="15"/>
      <c r="AT52" s="15"/>
      <c r="AU52" s="14"/>
      <c r="AV52" s="15"/>
      <c r="AW52" s="15"/>
      <c r="AX52" s="15"/>
      <c r="AY52" s="15"/>
      <c r="AZ52" s="57"/>
      <c r="BA52" s="15"/>
      <c r="BB52" s="15"/>
      <c r="BC52" s="14"/>
      <c r="BD52" s="15"/>
      <c r="BE52" s="15"/>
      <c r="BF52" s="15"/>
      <c r="BG52" s="15"/>
      <c r="BH52" s="57"/>
      <c r="BI52" s="15"/>
      <c r="BJ52" s="15"/>
      <c r="BK52" s="14"/>
      <c r="BL52" s="15"/>
      <c r="BM52" s="15"/>
      <c r="BN52" s="15"/>
      <c r="BO52" s="15"/>
      <c r="BP52" s="57"/>
      <c r="BQ52" s="15"/>
      <c r="BR52" s="15"/>
    </row>
    <row r="53" spans="1:70" ht="15.75" thickBot="1" x14ac:dyDescent="0.25">
      <c r="A53" s="33">
        <v>44355</v>
      </c>
      <c r="B53" s="17">
        <v>0</v>
      </c>
      <c r="C53" s="26">
        <v>0</v>
      </c>
      <c r="D53" s="18">
        <v>0</v>
      </c>
      <c r="E53" s="18">
        <v>0</v>
      </c>
      <c r="F53" s="19">
        <f t="shared" si="2"/>
        <v>0</v>
      </c>
      <c r="G53" s="17"/>
      <c r="H53" s="26"/>
      <c r="I53" s="18"/>
      <c r="J53" s="18"/>
      <c r="K53" s="18"/>
      <c r="L53" s="58"/>
      <c r="M53" s="26"/>
      <c r="N53" s="46">
        <f>SUM(L53:M53)</f>
        <v>0</v>
      </c>
      <c r="O53" s="17"/>
      <c r="P53" s="26"/>
      <c r="Q53" s="18"/>
      <c r="R53" s="18"/>
      <c r="S53" s="18"/>
      <c r="T53" s="58"/>
      <c r="U53" s="26"/>
      <c r="V53" s="46">
        <f>SUM(T53:U53)</f>
        <v>0</v>
      </c>
      <c r="W53" s="17"/>
      <c r="X53" s="26"/>
      <c r="Y53" s="18"/>
      <c r="Z53" s="18"/>
      <c r="AA53" s="18"/>
      <c r="AB53" s="58"/>
      <c r="AC53" s="26"/>
      <c r="AD53" s="46">
        <f>SUM(AB53:AC53)</f>
        <v>0</v>
      </c>
      <c r="AE53" s="17"/>
      <c r="AF53" s="26"/>
      <c r="AG53" s="18"/>
      <c r="AH53" s="18"/>
      <c r="AI53" s="18"/>
      <c r="AJ53" s="58"/>
      <c r="AK53" s="26"/>
      <c r="AL53" s="46">
        <f>SUM(AJ53:AK53)</f>
        <v>0</v>
      </c>
      <c r="AM53" s="17"/>
      <c r="AN53" s="26"/>
      <c r="AO53" s="18"/>
      <c r="AP53" s="18"/>
      <c r="AQ53" s="18"/>
      <c r="AR53" s="58"/>
      <c r="AS53" s="26"/>
      <c r="AT53" s="46">
        <f>SUM(AR53:AS53)</f>
        <v>0</v>
      </c>
      <c r="AU53" s="17"/>
      <c r="AV53" s="26"/>
      <c r="AW53" s="18"/>
      <c r="AX53" s="18"/>
      <c r="AY53" s="18"/>
      <c r="AZ53" s="58"/>
      <c r="BA53" s="26"/>
      <c r="BB53" s="46">
        <f>SUM(AZ53:BA53)</f>
        <v>0</v>
      </c>
      <c r="BC53" s="17"/>
      <c r="BD53" s="26"/>
      <c r="BE53" s="18"/>
      <c r="BF53" s="18"/>
      <c r="BG53" s="18"/>
      <c r="BH53" s="58"/>
      <c r="BI53" s="26"/>
      <c r="BJ53" s="46">
        <f>SUM(BH53:BI53)</f>
        <v>0</v>
      </c>
      <c r="BK53" s="17"/>
      <c r="BL53" s="26"/>
      <c r="BM53" s="18"/>
      <c r="BN53" s="18"/>
      <c r="BO53" s="18"/>
      <c r="BP53" s="58"/>
      <c r="BQ53" s="26"/>
      <c r="BR53" s="46">
        <f>SUM(BP53:BQ53)</f>
        <v>0</v>
      </c>
    </row>
    <row r="54" spans="1:70" ht="15" x14ac:dyDescent="0.2">
      <c r="A54" s="27" t="s">
        <v>1</v>
      </c>
      <c r="B54" s="28">
        <f t="shared" ref="B54:J54" si="13">SUM(B7:B53)</f>
        <v>37686</v>
      </c>
      <c r="C54" s="29">
        <f t="shared" si="13"/>
        <v>312</v>
      </c>
      <c r="D54" s="29">
        <f t="shared" si="13"/>
        <v>811</v>
      </c>
      <c r="E54" s="29">
        <f t="shared" si="13"/>
        <v>1</v>
      </c>
      <c r="F54" s="30">
        <f t="shared" si="13"/>
        <v>38810</v>
      </c>
      <c r="G54" s="28">
        <f t="shared" si="13"/>
        <v>0</v>
      </c>
      <c r="H54" s="29">
        <f t="shared" si="13"/>
        <v>0</v>
      </c>
      <c r="I54" s="29">
        <f t="shared" si="13"/>
        <v>0</v>
      </c>
      <c r="J54" s="29">
        <f t="shared" si="13"/>
        <v>0</v>
      </c>
      <c r="K54" s="53"/>
      <c r="L54" s="63">
        <f t="shared" ref="L54:R54" si="14">SUM(L7:L53)</f>
        <v>0</v>
      </c>
      <c r="M54" s="29">
        <f t="shared" si="14"/>
        <v>0</v>
      </c>
      <c r="N54" s="48">
        <f t="shared" si="14"/>
        <v>0</v>
      </c>
      <c r="O54" s="28">
        <f t="shared" si="14"/>
        <v>0</v>
      </c>
      <c r="P54" s="29">
        <f t="shared" si="14"/>
        <v>0</v>
      </c>
      <c r="Q54" s="29">
        <f t="shared" si="14"/>
        <v>0</v>
      </c>
      <c r="R54" s="29">
        <f t="shared" si="14"/>
        <v>0</v>
      </c>
      <c r="S54" s="53"/>
      <c r="T54" s="63">
        <f t="shared" ref="T54:Z54" si="15">SUM(T7:T53)</f>
        <v>0</v>
      </c>
      <c r="U54" s="29">
        <f t="shared" si="15"/>
        <v>0</v>
      </c>
      <c r="V54" s="48">
        <f t="shared" si="15"/>
        <v>0</v>
      </c>
      <c r="W54" s="28">
        <f t="shared" si="15"/>
        <v>0</v>
      </c>
      <c r="X54" s="29">
        <f t="shared" si="15"/>
        <v>0</v>
      </c>
      <c r="Y54" s="29">
        <f t="shared" si="15"/>
        <v>0</v>
      </c>
      <c r="Z54" s="29">
        <f t="shared" si="15"/>
        <v>0</v>
      </c>
      <c r="AA54" s="53"/>
      <c r="AB54" s="63">
        <f t="shared" ref="AB54:AH54" si="16">SUM(AB7:AB53)</f>
        <v>0</v>
      </c>
      <c r="AC54" s="29">
        <f t="shared" si="16"/>
        <v>0</v>
      </c>
      <c r="AD54" s="48">
        <f t="shared" si="16"/>
        <v>0</v>
      </c>
      <c r="AE54" s="28">
        <f t="shared" si="16"/>
        <v>0</v>
      </c>
      <c r="AF54" s="29">
        <f t="shared" si="16"/>
        <v>0</v>
      </c>
      <c r="AG54" s="29">
        <f t="shared" si="16"/>
        <v>0</v>
      </c>
      <c r="AH54" s="29">
        <f t="shared" si="16"/>
        <v>0</v>
      </c>
      <c r="AI54" s="53"/>
      <c r="AJ54" s="63">
        <f t="shared" ref="AJ54:AP54" si="17">SUM(AJ7:AJ53)</f>
        <v>0</v>
      </c>
      <c r="AK54" s="29">
        <f t="shared" si="17"/>
        <v>0</v>
      </c>
      <c r="AL54" s="48">
        <f t="shared" si="17"/>
        <v>0</v>
      </c>
      <c r="AM54" s="28">
        <f t="shared" si="17"/>
        <v>0</v>
      </c>
      <c r="AN54" s="29">
        <f t="shared" si="17"/>
        <v>0</v>
      </c>
      <c r="AO54" s="29">
        <f t="shared" si="17"/>
        <v>0</v>
      </c>
      <c r="AP54" s="29">
        <f t="shared" si="17"/>
        <v>0</v>
      </c>
      <c r="AQ54" s="53"/>
      <c r="AR54" s="63">
        <f t="shared" ref="AR54:AX54" si="18">SUM(AR7:AR53)</f>
        <v>0</v>
      </c>
      <c r="AS54" s="29">
        <f t="shared" si="18"/>
        <v>0</v>
      </c>
      <c r="AT54" s="48">
        <f t="shared" si="18"/>
        <v>0</v>
      </c>
      <c r="AU54" s="28">
        <f t="shared" si="18"/>
        <v>0</v>
      </c>
      <c r="AV54" s="29">
        <f t="shared" si="18"/>
        <v>0</v>
      </c>
      <c r="AW54" s="29">
        <f t="shared" si="18"/>
        <v>0</v>
      </c>
      <c r="AX54" s="29">
        <f t="shared" si="18"/>
        <v>0</v>
      </c>
      <c r="AY54" s="53"/>
      <c r="AZ54" s="63">
        <f t="shared" ref="AZ54:BF54" si="19">SUM(AZ7:AZ53)</f>
        <v>0</v>
      </c>
      <c r="BA54" s="29">
        <f t="shared" si="19"/>
        <v>0</v>
      </c>
      <c r="BB54" s="48">
        <f t="shared" si="19"/>
        <v>0</v>
      </c>
      <c r="BC54" s="28">
        <f t="shared" si="19"/>
        <v>0</v>
      </c>
      <c r="BD54" s="29">
        <f t="shared" si="19"/>
        <v>0</v>
      </c>
      <c r="BE54" s="29">
        <f t="shared" si="19"/>
        <v>0</v>
      </c>
      <c r="BF54" s="29">
        <f t="shared" si="19"/>
        <v>0</v>
      </c>
      <c r="BG54" s="53"/>
      <c r="BH54" s="63">
        <f t="shared" ref="BH54:BN54" si="20">SUM(BH7:BH53)</f>
        <v>0</v>
      </c>
      <c r="BI54" s="29">
        <f t="shared" si="20"/>
        <v>0</v>
      </c>
      <c r="BJ54" s="48">
        <f t="shared" si="20"/>
        <v>0</v>
      </c>
      <c r="BK54" s="28">
        <f t="shared" si="20"/>
        <v>0</v>
      </c>
      <c r="BL54" s="29">
        <f t="shared" si="20"/>
        <v>0</v>
      </c>
      <c r="BM54" s="29">
        <f t="shared" si="20"/>
        <v>0</v>
      </c>
      <c r="BN54" s="29">
        <f t="shared" si="20"/>
        <v>0</v>
      </c>
      <c r="BO54" s="53"/>
      <c r="BP54" s="63">
        <f>SUM(BP7:BP53)</f>
        <v>0</v>
      </c>
      <c r="BQ54" s="29">
        <f>SUM(BQ7:BQ53)</f>
        <v>0</v>
      </c>
      <c r="BR54" s="48">
        <f>SUM(BR7:BR53)</f>
        <v>0</v>
      </c>
    </row>
    <row r="55" spans="1:70" x14ac:dyDescent="0.2"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</row>
    <row r="56" spans="1:70" x14ac:dyDescent="0.2"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</row>
  </sheetData>
  <mergeCells count="11">
    <mergeCell ref="BK5:BR5"/>
    <mergeCell ref="G5:N5"/>
    <mergeCell ref="O5:V5"/>
    <mergeCell ref="W5:AD5"/>
    <mergeCell ref="AE5:AL5"/>
    <mergeCell ref="AM5:AT5"/>
    <mergeCell ref="A1:F2"/>
    <mergeCell ref="A3:F3"/>
    <mergeCell ref="B5:F5"/>
    <mergeCell ref="AU5:BB5"/>
    <mergeCell ref="BC5:BJ5"/>
  </mergeCell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DA899-F229-4767-A070-ADCD09666937}">
  <dimension ref="A1:I56"/>
  <sheetViews>
    <sheetView showGridLines="0" zoomScale="85" zoomScaleNormal="85" workbookViewId="0">
      <pane ySplit="6" topLeftCell="A36" activePane="bottomLeft" state="frozen"/>
      <selection pane="bottomLeft" activeCell="B54" sqref="B54:B56"/>
    </sheetView>
  </sheetViews>
  <sheetFormatPr defaultColWidth="9" defaultRowHeight="14.25" x14ac:dyDescent="0.2"/>
  <cols>
    <col min="1" max="2" width="11.75" style="357" customWidth="1"/>
    <col min="3" max="5" width="9.625" style="366" customWidth="1"/>
    <col min="6" max="6" width="12.125" style="357" customWidth="1"/>
    <col min="7" max="7" width="13.875" style="357" bestFit="1" customWidth="1"/>
    <col min="8" max="16384" width="9" style="357"/>
  </cols>
  <sheetData>
    <row r="1" spans="1:7" ht="33.75" customHeight="1" x14ac:dyDescent="0.25">
      <c r="A1" s="581" t="s">
        <v>105</v>
      </c>
      <c r="B1" s="581"/>
      <c r="C1" s="581"/>
      <c r="D1" s="581"/>
      <c r="E1" s="581"/>
    </row>
    <row r="2" spans="1:7" ht="27" customHeight="1" x14ac:dyDescent="0.25">
      <c r="A2" s="577" t="s">
        <v>95</v>
      </c>
      <c r="B2" s="577"/>
      <c r="C2" s="577"/>
      <c r="D2" s="577"/>
      <c r="E2" s="577"/>
      <c r="F2" s="432"/>
      <c r="G2" s="402"/>
    </row>
    <row r="3" spans="1:7" ht="9.75" customHeight="1" x14ac:dyDescent="0.25">
      <c r="A3" s="372"/>
      <c r="B3" s="372"/>
      <c r="C3" s="373"/>
      <c r="D3" s="373"/>
      <c r="E3" s="373"/>
    </row>
    <row r="4" spans="1:7" ht="26.25" customHeight="1" x14ac:dyDescent="0.2">
      <c r="A4" s="578" t="s">
        <v>103</v>
      </c>
      <c r="B4" s="579"/>
      <c r="C4" s="579"/>
      <c r="D4" s="579"/>
      <c r="E4" s="580"/>
    </row>
    <row r="5" spans="1:7" ht="30.75" thickBot="1" x14ac:dyDescent="0.25">
      <c r="A5" s="374" t="s">
        <v>5</v>
      </c>
      <c r="B5" s="375" t="s">
        <v>1</v>
      </c>
      <c r="C5" s="376" t="s">
        <v>6</v>
      </c>
      <c r="D5" s="377" t="s">
        <v>7</v>
      </c>
      <c r="E5" s="467" t="s">
        <v>8</v>
      </c>
      <c r="F5" s="483" t="s">
        <v>113</v>
      </c>
    </row>
    <row r="6" spans="1:7" ht="24.75" customHeight="1" thickBot="1" x14ac:dyDescent="0.25">
      <c r="A6" s="453" t="s">
        <v>1</v>
      </c>
      <c r="B6" s="457">
        <f>SUM(B7:B56)</f>
        <v>48058</v>
      </c>
      <c r="C6" s="458">
        <f>SUM(C7:C56)</f>
        <v>45971</v>
      </c>
      <c r="D6" s="455">
        <f>SUM(D7:D56)</f>
        <v>598</v>
      </c>
      <c r="E6" s="457">
        <f>SUM(E7:E56)</f>
        <v>1489</v>
      </c>
      <c r="F6" s="475">
        <f>SUM(F7:F56)</f>
        <v>971</v>
      </c>
      <c r="G6" s="505">
        <f>SUM(C6:E6)</f>
        <v>48058</v>
      </c>
    </row>
    <row r="7" spans="1:7" ht="15.75" x14ac:dyDescent="0.2">
      <c r="A7" s="378">
        <v>44456</v>
      </c>
      <c r="B7" s="379">
        <f>SUM(C7:E7)</f>
        <v>2</v>
      </c>
      <c r="C7" s="380">
        <v>0</v>
      </c>
      <c r="D7" s="381">
        <v>0</v>
      </c>
      <c r="E7" s="468">
        <v>2</v>
      </c>
      <c r="F7" s="476">
        <v>0</v>
      </c>
    </row>
    <row r="8" spans="1:7" s="388" customFormat="1" ht="15.75" x14ac:dyDescent="0.2">
      <c r="A8" s="383">
        <v>44457</v>
      </c>
      <c r="B8" s="384"/>
      <c r="C8" s="385"/>
      <c r="D8" s="386"/>
      <c r="E8" s="469"/>
      <c r="F8" s="477"/>
    </row>
    <row r="9" spans="1:7" s="388" customFormat="1" ht="15.75" x14ac:dyDescent="0.2">
      <c r="A9" s="383">
        <v>44458</v>
      </c>
      <c r="B9" s="384"/>
      <c r="C9" s="385"/>
      <c r="D9" s="386"/>
      <c r="E9" s="469"/>
      <c r="F9" s="477"/>
    </row>
    <row r="10" spans="1:7" s="388" customFormat="1" ht="15.75" x14ac:dyDescent="0.2">
      <c r="A10" s="383">
        <v>44459</v>
      </c>
      <c r="B10" s="389">
        <f>SUM(C10:E10)</f>
        <v>2</v>
      </c>
      <c r="C10" s="390">
        <v>0</v>
      </c>
      <c r="D10" s="391">
        <v>0</v>
      </c>
      <c r="E10" s="470">
        <v>2</v>
      </c>
      <c r="F10" s="478">
        <v>0</v>
      </c>
    </row>
    <row r="11" spans="1:7" s="388" customFormat="1" ht="15.75" x14ac:dyDescent="0.2">
      <c r="A11" s="383">
        <v>44460</v>
      </c>
      <c r="B11" s="389">
        <f>SUM(C11:E11)</f>
        <v>8</v>
      </c>
      <c r="C11" s="390">
        <v>3</v>
      </c>
      <c r="D11" s="391">
        <v>0</v>
      </c>
      <c r="E11" s="470">
        <v>5</v>
      </c>
      <c r="F11" s="478">
        <v>0</v>
      </c>
    </row>
    <row r="12" spans="1:7" s="388" customFormat="1" ht="15.75" x14ac:dyDescent="0.2">
      <c r="A12" s="383">
        <v>44461</v>
      </c>
      <c r="B12" s="389">
        <f>SUM(C12:E12)</f>
        <v>8</v>
      </c>
      <c r="C12" s="390">
        <v>3</v>
      </c>
      <c r="D12" s="391">
        <v>0</v>
      </c>
      <c r="E12" s="470">
        <v>5</v>
      </c>
      <c r="F12" s="478">
        <v>37</v>
      </c>
    </row>
    <row r="13" spans="1:7" s="388" customFormat="1" ht="15.75" x14ac:dyDescent="0.2">
      <c r="A13" s="383">
        <v>44462</v>
      </c>
      <c r="B13" s="389">
        <f>SUM(C13:E13)</f>
        <v>1583</v>
      </c>
      <c r="C13" s="390">
        <v>1573</v>
      </c>
      <c r="D13" s="391">
        <v>3</v>
      </c>
      <c r="E13" s="470">
        <v>7</v>
      </c>
      <c r="F13" s="478">
        <f>171+41</f>
        <v>212</v>
      </c>
    </row>
    <row r="14" spans="1:7" s="388" customFormat="1" ht="15.75" x14ac:dyDescent="0.2">
      <c r="A14" s="383">
        <v>44463</v>
      </c>
      <c r="B14" s="389">
        <f>SUM(C14:E14)</f>
        <v>1466</v>
      </c>
      <c r="C14" s="390">
        <f>1445+6</f>
        <v>1451</v>
      </c>
      <c r="D14" s="391">
        <v>4</v>
      </c>
      <c r="E14" s="470">
        <v>11</v>
      </c>
      <c r="F14" s="478">
        <f>93+50</f>
        <v>143</v>
      </c>
      <c r="G14" s="487"/>
    </row>
    <row r="15" spans="1:7" s="388" customFormat="1" ht="15.75" x14ac:dyDescent="0.2">
      <c r="A15" s="383">
        <v>44464</v>
      </c>
      <c r="B15" s="393"/>
      <c r="C15" s="385"/>
      <c r="D15" s="386"/>
      <c r="E15" s="469"/>
      <c r="F15" s="477"/>
    </row>
    <row r="16" spans="1:7" s="388" customFormat="1" ht="15.75" x14ac:dyDescent="0.2">
      <c r="A16" s="383">
        <v>44465</v>
      </c>
      <c r="B16" s="396"/>
      <c r="C16" s="386"/>
      <c r="D16" s="421"/>
      <c r="E16" s="469"/>
      <c r="F16" s="477"/>
    </row>
    <row r="17" spans="1:9" s="388" customFormat="1" ht="15.75" x14ac:dyDescent="0.2">
      <c r="A17" s="383">
        <v>44466</v>
      </c>
      <c r="B17" s="389">
        <f>SUM(C17:E17)</f>
        <v>3221</v>
      </c>
      <c r="C17" s="391">
        <f>3192+4</f>
        <v>3196</v>
      </c>
      <c r="D17" s="420">
        <v>13</v>
      </c>
      <c r="E17" s="470">
        <v>12</v>
      </c>
      <c r="F17" s="478">
        <f>112+10</f>
        <v>122</v>
      </c>
    </row>
    <row r="18" spans="1:9" s="388" customFormat="1" ht="15.75" x14ac:dyDescent="0.2">
      <c r="A18" s="383">
        <v>44467</v>
      </c>
      <c r="B18" s="389">
        <f>SUM(C18:E18)</f>
        <v>140</v>
      </c>
      <c r="C18" s="391">
        <f>122-9</f>
        <v>113</v>
      </c>
      <c r="D18" s="420">
        <v>9</v>
      </c>
      <c r="E18" s="470">
        <f>17+1</f>
        <v>18</v>
      </c>
      <c r="F18" s="478">
        <v>12</v>
      </c>
      <c r="H18" s="487"/>
      <c r="I18" s="487"/>
    </row>
    <row r="19" spans="1:9" s="388" customFormat="1" ht="15.75" x14ac:dyDescent="0.2">
      <c r="A19" s="383">
        <v>44468</v>
      </c>
      <c r="B19" s="389">
        <f>SUM(C19:E19)</f>
        <v>29</v>
      </c>
      <c r="C19" s="391">
        <v>8</v>
      </c>
      <c r="D19" s="420">
        <v>4</v>
      </c>
      <c r="E19" s="470">
        <v>17</v>
      </c>
      <c r="F19" s="478">
        <f>61+7</f>
        <v>68</v>
      </c>
    </row>
    <row r="20" spans="1:9" s="388" customFormat="1" ht="15.75" x14ac:dyDescent="0.2">
      <c r="A20" s="383">
        <v>44469</v>
      </c>
      <c r="B20" s="389">
        <f>SUM(C20:E20)</f>
        <v>3234</v>
      </c>
      <c r="C20" s="391">
        <f>3212+1</f>
        <v>3213</v>
      </c>
      <c r="D20" s="420">
        <v>4</v>
      </c>
      <c r="E20" s="470">
        <v>17</v>
      </c>
      <c r="F20" s="478">
        <v>12</v>
      </c>
    </row>
    <row r="21" spans="1:9" s="388" customFormat="1" ht="15.75" x14ac:dyDescent="0.2">
      <c r="A21" s="383">
        <v>44470</v>
      </c>
      <c r="B21" s="389">
        <f>SUM(C21:E21)</f>
        <v>1092</v>
      </c>
      <c r="C21" s="391">
        <v>1063</v>
      </c>
      <c r="D21" s="420">
        <v>13</v>
      </c>
      <c r="E21" s="470">
        <v>16</v>
      </c>
      <c r="F21" s="478">
        <v>6</v>
      </c>
      <c r="H21" s="487"/>
    </row>
    <row r="22" spans="1:9" s="388" customFormat="1" ht="15.75" x14ac:dyDescent="0.2">
      <c r="A22" s="383">
        <v>44471</v>
      </c>
      <c r="B22" s="396"/>
      <c r="C22" s="386"/>
      <c r="D22" s="421"/>
      <c r="E22" s="469"/>
      <c r="F22" s="477"/>
    </row>
    <row r="23" spans="1:9" s="388" customFormat="1" ht="15.75" x14ac:dyDescent="0.2">
      <c r="A23" s="383">
        <v>44472</v>
      </c>
      <c r="B23" s="394"/>
      <c r="C23" s="386"/>
      <c r="D23" s="421"/>
      <c r="E23" s="469"/>
      <c r="F23" s="477"/>
      <c r="H23" s="487"/>
    </row>
    <row r="24" spans="1:9" s="388" customFormat="1" ht="15.75" x14ac:dyDescent="0.2">
      <c r="A24" s="383">
        <v>44473</v>
      </c>
      <c r="B24" s="389">
        <f>SUM(C24:E24)</f>
        <v>2449</v>
      </c>
      <c r="C24" s="391">
        <f>2418-1</f>
        <v>2417</v>
      </c>
      <c r="D24" s="420">
        <v>9</v>
      </c>
      <c r="E24" s="470">
        <v>23</v>
      </c>
      <c r="F24" s="478">
        <v>28</v>
      </c>
    </row>
    <row r="25" spans="1:9" s="395" customFormat="1" ht="15.75" x14ac:dyDescent="0.2">
      <c r="A25" s="383">
        <v>44474</v>
      </c>
      <c r="B25" s="389">
        <f>SUM(C25:E25)</f>
        <v>27</v>
      </c>
      <c r="C25" s="391">
        <v>5</v>
      </c>
      <c r="D25" s="420">
        <v>9</v>
      </c>
      <c r="E25" s="470">
        <v>13</v>
      </c>
      <c r="F25" s="478">
        <v>13</v>
      </c>
    </row>
    <row r="26" spans="1:9" s="388" customFormat="1" ht="15.75" x14ac:dyDescent="0.2">
      <c r="A26" s="383">
        <v>44475</v>
      </c>
      <c r="B26" s="389">
        <f>SUM(C26:E26)</f>
        <v>125</v>
      </c>
      <c r="C26" s="391">
        <v>90</v>
      </c>
      <c r="D26" s="420">
        <v>14</v>
      </c>
      <c r="E26" s="470">
        <v>21</v>
      </c>
      <c r="F26" s="478">
        <v>20</v>
      </c>
    </row>
    <row r="27" spans="1:9" s="388" customFormat="1" ht="15.75" x14ac:dyDescent="0.2">
      <c r="A27" s="383">
        <v>44476</v>
      </c>
      <c r="B27" s="389">
        <f>SUM(C27:E27)</f>
        <v>2675</v>
      </c>
      <c r="C27" s="391">
        <v>2643</v>
      </c>
      <c r="D27" s="420">
        <v>4</v>
      </c>
      <c r="E27" s="470">
        <v>28</v>
      </c>
      <c r="F27" s="478">
        <v>11</v>
      </c>
    </row>
    <row r="28" spans="1:9" s="388" customFormat="1" ht="15.75" x14ac:dyDescent="0.2">
      <c r="A28" s="383">
        <v>44477</v>
      </c>
      <c r="B28" s="389">
        <f>SUM(C28:E28)</f>
        <v>1133</v>
      </c>
      <c r="C28" s="391">
        <v>1091</v>
      </c>
      <c r="D28" s="420">
        <v>14</v>
      </c>
      <c r="E28" s="470">
        <v>28</v>
      </c>
      <c r="F28" s="478">
        <v>5</v>
      </c>
    </row>
    <row r="29" spans="1:9" s="388" customFormat="1" ht="15.75" x14ac:dyDescent="0.2">
      <c r="A29" s="383">
        <v>44478</v>
      </c>
      <c r="B29" s="396"/>
      <c r="C29" s="386"/>
      <c r="D29" s="421"/>
      <c r="E29" s="469"/>
      <c r="F29" s="477"/>
    </row>
    <row r="30" spans="1:9" s="388" customFormat="1" ht="15.75" x14ac:dyDescent="0.2">
      <c r="A30" s="383">
        <v>44479</v>
      </c>
      <c r="B30" s="394"/>
      <c r="C30" s="386"/>
      <c r="D30" s="421"/>
      <c r="E30" s="469"/>
      <c r="F30" s="477"/>
    </row>
    <row r="31" spans="1:9" s="388" customFormat="1" ht="15.75" x14ac:dyDescent="0.2">
      <c r="A31" s="383">
        <v>44480</v>
      </c>
      <c r="B31" s="389">
        <f>SUM(C31:E31)</f>
        <v>41</v>
      </c>
      <c r="C31" s="391">
        <v>6</v>
      </c>
      <c r="D31" s="420">
        <v>10</v>
      </c>
      <c r="E31" s="470">
        <v>25</v>
      </c>
      <c r="F31" s="478">
        <v>13</v>
      </c>
    </row>
    <row r="32" spans="1:9" s="388" customFormat="1" ht="15.75" x14ac:dyDescent="0.2">
      <c r="A32" s="383">
        <v>44481</v>
      </c>
      <c r="B32" s="389">
        <f>SUM(C32:E32)</f>
        <v>2512</v>
      </c>
      <c r="C32" s="391">
        <v>2457</v>
      </c>
      <c r="D32" s="420">
        <v>16</v>
      </c>
      <c r="E32" s="470">
        <v>39</v>
      </c>
      <c r="F32" s="478">
        <f>18+5</f>
        <v>23</v>
      </c>
    </row>
    <row r="33" spans="1:6" s="388" customFormat="1" ht="15.75" x14ac:dyDescent="0.2">
      <c r="A33" s="383">
        <v>44482</v>
      </c>
      <c r="B33" s="389">
        <f>SUM(C33:E33)</f>
        <v>19</v>
      </c>
      <c r="C33" s="391">
        <v>1</v>
      </c>
      <c r="D33" s="420">
        <v>6</v>
      </c>
      <c r="E33" s="470">
        <v>12</v>
      </c>
      <c r="F33" s="478">
        <v>9</v>
      </c>
    </row>
    <row r="34" spans="1:6" s="388" customFormat="1" ht="15.75" x14ac:dyDescent="0.2">
      <c r="A34" s="383">
        <v>44483</v>
      </c>
      <c r="B34" s="389">
        <f>SUM(C34:E34)</f>
        <v>2131</v>
      </c>
      <c r="C34" s="391">
        <v>2069</v>
      </c>
      <c r="D34" s="420">
        <v>27</v>
      </c>
      <c r="E34" s="470">
        <v>35</v>
      </c>
      <c r="F34" s="478">
        <v>8</v>
      </c>
    </row>
    <row r="35" spans="1:6" s="388" customFormat="1" ht="15.75" x14ac:dyDescent="0.2">
      <c r="A35" s="383">
        <v>44484</v>
      </c>
      <c r="B35" s="389">
        <f>SUM(C35:E35)</f>
        <v>1617</v>
      </c>
      <c r="C35" s="391">
        <v>1583</v>
      </c>
      <c r="D35" s="420">
        <v>14</v>
      </c>
      <c r="E35" s="470">
        <f>21-1</f>
        <v>20</v>
      </c>
      <c r="F35" s="478">
        <v>9</v>
      </c>
    </row>
    <row r="36" spans="1:6" s="388" customFormat="1" ht="15.75" x14ac:dyDescent="0.2">
      <c r="A36" s="383">
        <v>44485</v>
      </c>
      <c r="B36" s="394"/>
      <c r="C36" s="386"/>
      <c r="D36" s="421"/>
      <c r="E36" s="469"/>
      <c r="F36" s="477"/>
    </row>
    <row r="37" spans="1:6" s="388" customFormat="1" ht="15.75" x14ac:dyDescent="0.2">
      <c r="A37" s="383">
        <v>44486</v>
      </c>
      <c r="B37" s="394"/>
      <c r="C37" s="386"/>
      <c r="D37" s="421"/>
      <c r="E37" s="469"/>
      <c r="F37" s="477"/>
    </row>
    <row r="38" spans="1:6" s="388" customFormat="1" ht="15.75" x14ac:dyDescent="0.2">
      <c r="A38" s="383">
        <v>44487</v>
      </c>
      <c r="B38" s="389">
        <f t="shared" ref="B38:B43" si="0">SUM(C38:E38)</f>
        <v>2897</v>
      </c>
      <c r="C38" s="391">
        <v>2836</v>
      </c>
      <c r="D38" s="420">
        <v>24</v>
      </c>
      <c r="E38" s="470">
        <v>37</v>
      </c>
      <c r="F38" s="478">
        <v>20</v>
      </c>
    </row>
    <row r="39" spans="1:6" s="388" customFormat="1" ht="15.75" x14ac:dyDescent="0.2">
      <c r="A39" s="383">
        <v>44488</v>
      </c>
      <c r="B39" s="389">
        <f t="shared" si="0"/>
        <v>169</v>
      </c>
      <c r="C39" s="391">
        <v>122</v>
      </c>
      <c r="D39" s="420">
        <v>19</v>
      </c>
      <c r="E39" s="470">
        <v>28</v>
      </c>
      <c r="F39" s="478">
        <v>2</v>
      </c>
    </row>
    <row r="40" spans="1:6" s="388" customFormat="1" ht="15.75" x14ac:dyDescent="0.2">
      <c r="A40" s="383">
        <v>44489</v>
      </c>
      <c r="B40" s="389">
        <f t="shared" si="0"/>
        <v>1885</v>
      </c>
      <c r="C40" s="391">
        <v>1829</v>
      </c>
      <c r="D40" s="420">
        <v>22</v>
      </c>
      <c r="E40" s="470">
        <v>34</v>
      </c>
      <c r="F40" s="478">
        <v>3</v>
      </c>
    </row>
    <row r="41" spans="1:6" s="388" customFormat="1" ht="15.75" x14ac:dyDescent="0.2">
      <c r="A41" s="383">
        <v>44490</v>
      </c>
      <c r="B41" s="389">
        <f t="shared" si="0"/>
        <v>1621</v>
      </c>
      <c r="C41" s="391">
        <v>1579</v>
      </c>
      <c r="D41" s="420">
        <v>13</v>
      </c>
      <c r="E41" s="470">
        <v>29</v>
      </c>
      <c r="F41" s="478">
        <v>34</v>
      </c>
    </row>
    <row r="42" spans="1:6" s="388" customFormat="1" ht="15.75" x14ac:dyDescent="0.2">
      <c r="A42" s="383">
        <v>44491</v>
      </c>
      <c r="B42" s="389">
        <f t="shared" si="0"/>
        <v>1457</v>
      </c>
      <c r="C42" s="391">
        <v>1383</v>
      </c>
      <c r="D42" s="420">
        <v>12</v>
      </c>
      <c r="E42" s="470">
        <v>62</v>
      </c>
      <c r="F42" s="478">
        <v>7</v>
      </c>
    </row>
    <row r="43" spans="1:6" s="388" customFormat="1" ht="15.75" x14ac:dyDescent="0.2">
      <c r="A43" s="383">
        <v>44492</v>
      </c>
      <c r="B43" s="408">
        <f t="shared" si="0"/>
        <v>1030</v>
      </c>
      <c r="C43" s="506">
        <v>1030</v>
      </c>
      <c r="D43" s="423">
        <v>0</v>
      </c>
      <c r="E43" s="471">
        <v>0</v>
      </c>
      <c r="F43" s="479"/>
    </row>
    <row r="44" spans="1:6" s="388" customFormat="1" x14ac:dyDescent="0.2">
      <c r="A44" s="383">
        <v>44493</v>
      </c>
      <c r="B44" s="515"/>
      <c r="C44" s="385"/>
      <c r="D44" s="386"/>
      <c r="E44" s="469"/>
      <c r="F44" s="477"/>
    </row>
    <row r="45" spans="1:6" s="388" customFormat="1" ht="15.75" x14ac:dyDescent="0.2">
      <c r="A45" s="383">
        <v>44494</v>
      </c>
      <c r="B45" s="408">
        <f t="shared" ref="B45:B50" si="1">SUM(C45:E45)</f>
        <v>2040</v>
      </c>
      <c r="C45" s="423">
        <v>1932</v>
      </c>
      <c r="D45" s="422">
        <v>53</v>
      </c>
      <c r="E45" s="471">
        <v>55</v>
      </c>
      <c r="F45" s="479">
        <v>5</v>
      </c>
    </row>
    <row r="46" spans="1:6" s="388" customFormat="1" ht="15.75" x14ac:dyDescent="0.2">
      <c r="A46" s="383">
        <v>44495</v>
      </c>
      <c r="B46" s="408">
        <f t="shared" si="1"/>
        <v>259</v>
      </c>
      <c r="C46" s="423">
        <v>195</v>
      </c>
      <c r="D46" s="422">
        <v>25</v>
      </c>
      <c r="E46" s="471">
        <v>39</v>
      </c>
      <c r="F46" s="479">
        <v>14</v>
      </c>
    </row>
    <row r="47" spans="1:6" s="388" customFormat="1" ht="15.75" x14ac:dyDescent="0.2">
      <c r="A47" s="383">
        <v>44496</v>
      </c>
      <c r="B47" s="389">
        <f t="shared" si="1"/>
        <v>2399</v>
      </c>
      <c r="C47" s="391">
        <v>2338</v>
      </c>
      <c r="D47" s="420">
        <v>22</v>
      </c>
      <c r="E47" s="470">
        <v>39</v>
      </c>
      <c r="F47" s="478">
        <v>2</v>
      </c>
    </row>
    <row r="48" spans="1:6" s="388" customFormat="1" ht="15.75" x14ac:dyDescent="0.2">
      <c r="A48" s="383">
        <v>44497</v>
      </c>
      <c r="B48" s="389">
        <f t="shared" si="1"/>
        <v>1804</v>
      </c>
      <c r="C48" s="391">
        <v>1740</v>
      </c>
      <c r="D48" s="420">
        <v>32</v>
      </c>
      <c r="E48" s="470">
        <v>32</v>
      </c>
      <c r="F48" s="478">
        <v>25</v>
      </c>
    </row>
    <row r="49" spans="1:6" s="388" customFormat="1" ht="15.75" x14ac:dyDescent="0.2">
      <c r="A49" s="383">
        <v>44498</v>
      </c>
      <c r="B49" s="389">
        <f t="shared" si="1"/>
        <v>2471</v>
      </c>
      <c r="C49" s="391">
        <v>2396</v>
      </c>
      <c r="D49" s="420">
        <v>33</v>
      </c>
      <c r="E49" s="470">
        <v>42</v>
      </c>
      <c r="F49" s="478">
        <v>28</v>
      </c>
    </row>
    <row r="50" spans="1:6" s="388" customFormat="1" ht="15.75" x14ac:dyDescent="0.2">
      <c r="A50" s="383">
        <v>44499</v>
      </c>
      <c r="B50" s="389">
        <f t="shared" si="1"/>
        <v>856</v>
      </c>
      <c r="C50" s="391">
        <v>846</v>
      </c>
      <c r="D50" s="420">
        <v>3</v>
      </c>
      <c r="E50" s="470">
        <v>7</v>
      </c>
      <c r="F50" s="478">
        <v>2</v>
      </c>
    </row>
    <row r="51" spans="1:6" s="388" customFormat="1" ht="15.75" x14ac:dyDescent="0.2">
      <c r="A51" s="383">
        <v>44500</v>
      </c>
      <c r="B51" s="442"/>
      <c r="C51" s="444"/>
      <c r="D51" s="440"/>
      <c r="E51" s="472"/>
      <c r="F51" s="480"/>
    </row>
    <row r="52" spans="1:6" s="388" customFormat="1" ht="15.75" x14ac:dyDescent="0.2">
      <c r="A52" s="383">
        <v>44501</v>
      </c>
      <c r="B52" s="443">
        <f>SUM(C52:E52)</f>
        <v>2302</v>
      </c>
      <c r="C52" s="547">
        <v>2213</v>
      </c>
      <c r="D52" s="441">
        <v>58</v>
      </c>
      <c r="E52" s="473">
        <v>31</v>
      </c>
      <c r="F52" s="481">
        <v>13</v>
      </c>
    </row>
    <row r="53" spans="1:6" s="388" customFormat="1" ht="15.75" x14ac:dyDescent="0.2">
      <c r="A53" s="445">
        <v>44502</v>
      </c>
      <c r="B53" s="443">
        <f>SUM(C53:E53)</f>
        <v>263</v>
      </c>
      <c r="C53" s="428">
        <v>99</v>
      </c>
      <c r="D53" s="441">
        <v>42</v>
      </c>
      <c r="E53" s="473">
        <v>122</v>
      </c>
      <c r="F53" s="481">
        <v>52</v>
      </c>
    </row>
    <row r="54" spans="1:6" s="388" customFormat="1" ht="15.75" x14ac:dyDescent="0.2">
      <c r="A54" s="446">
        <v>44503</v>
      </c>
      <c r="B54" s="408">
        <f>SUM(C54:E54)</f>
        <v>2456</v>
      </c>
      <c r="C54" s="448">
        <v>2376</v>
      </c>
      <c r="D54" s="449">
        <v>13</v>
      </c>
      <c r="E54" s="474">
        <v>67</v>
      </c>
      <c r="F54" s="482">
        <v>13</v>
      </c>
    </row>
    <row r="55" spans="1:6" ht="15.75" x14ac:dyDescent="0.2">
      <c r="A55" s="447">
        <v>44504</v>
      </c>
      <c r="B55" s="389">
        <f>SUM(C55:E55)</f>
        <v>122</v>
      </c>
      <c r="C55" s="391">
        <v>49</v>
      </c>
      <c r="D55" s="420">
        <v>22</v>
      </c>
      <c r="E55" s="470">
        <v>51</v>
      </c>
      <c r="F55" s="478"/>
    </row>
    <row r="56" spans="1:6" ht="15.75" x14ac:dyDescent="0.2">
      <c r="A56" s="434">
        <v>44505</v>
      </c>
      <c r="B56" s="389">
        <f>SUM(C56:E56)</f>
        <v>513</v>
      </c>
      <c r="C56" s="391">
        <v>23</v>
      </c>
      <c r="D56" s="420">
        <v>32</v>
      </c>
      <c r="E56" s="470">
        <v>458</v>
      </c>
      <c r="F56" s="478"/>
    </row>
  </sheetData>
  <sheetProtection algorithmName="SHA-512" hashValue="12ORR/DWBJwIGBkJzROk8Cpg7hUKyU/AstXy5SOmBN7o4IS3ULUshEyd00IbjmOPPrZDFw3i2Tt2NxaunkpW6A==" saltValue="s0a5EJ+Sxq9c97H83iV8ow==" spinCount="100000" sheet="1" objects="1" scenarios="1"/>
  <mergeCells count="3">
    <mergeCell ref="A2:E2"/>
    <mergeCell ref="A4:E4"/>
    <mergeCell ref="A1:E1"/>
  </mergeCells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C5A14-9A91-4238-83AC-4E6BD02BF0AA}">
  <dimension ref="A1:G55"/>
  <sheetViews>
    <sheetView showGridLines="0" zoomScale="85" zoomScaleNormal="85" workbookViewId="0">
      <pane ySplit="6" topLeftCell="A35" activePane="bottomLeft" state="frozen"/>
      <selection pane="bottomLeft" activeCell="I47" sqref="I47"/>
    </sheetView>
  </sheetViews>
  <sheetFormatPr defaultColWidth="9" defaultRowHeight="14.25" x14ac:dyDescent="0.2"/>
  <cols>
    <col min="1" max="2" width="11.75" style="357" customWidth="1"/>
    <col min="3" max="3" width="11" style="366" customWidth="1"/>
    <col min="4" max="4" width="10.5" style="366" customWidth="1"/>
    <col min="5" max="5" width="9.625" style="366" customWidth="1"/>
    <col min="6" max="6" width="11.875" style="357" customWidth="1"/>
    <col min="7" max="16384" width="9" style="357"/>
  </cols>
  <sheetData>
    <row r="1" spans="1:7" ht="30" customHeight="1" x14ac:dyDescent="0.25">
      <c r="A1" s="561" t="s">
        <v>98</v>
      </c>
      <c r="B1" s="561"/>
      <c r="C1" s="561"/>
      <c r="D1" s="561"/>
      <c r="E1" s="561"/>
    </row>
    <row r="2" spans="1:7" ht="27" customHeight="1" x14ac:dyDescent="0.25">
      <c r="A2" s="582" t="s">
        <v>95</v>
      </c>
      <c r="B2" s="582"/>
      <c r="C2" s="582"/>
      <c r="D2" s="582"/>
      <c r="E2" s="582"/>
      <c r="F2" s="401"/>
      <c r="G2" s="402"/>
    </row>
    <row r="3" spans="1:7" ht="7.5" customHeight="1" x14ac:dyDescent="0.25">
      <c r="A3" s="372"/>
      <c r="B3" s="372"/>
      <c r="C3" s="373"/>
      <c r="D3" s="373"/>
      <c r="E3" s="373"/>
    </row>
    <row r="4" spans="1:7" ht="27" customHeight="1" x14ac:dyDescent="0.2">
      <c r="A4" s="578" t="s">
        <v>104</v>
      </c>
      <c r="B4" s="579"/>
      <c r="C4" s="579"/>
      <c r="D4" s="579"/>
      <c r="E4" s="580"/>
    </row>
    <row r="5" spans="1:7" ht="42" customHeight="1" thickBot="1" x14ac:dyDescent="0.25">
      <c r="A5" s="403" t="s">
        <v>5</v>
      </c>
      <c r="B5" s="404" t="s">
        <v>1</v>
      </c>
      <c r="C5" s="405" t="s">
        <v>6</v>
      </c>
      <c r="D5" s="406" t="s">
        <v>7</v>
      </c>
      <c r="E5" s="407" t="s">
        <v>8</v>
      </c>
    </row>
    <row r="6" spans="1:7" ht="34.5" customHeight="1" thickBot="1" x14ac:dyDescent="0.25">
      <c r="A6" s="453" t="s">
        <v>1</v>
      </c>
      <c r="B6" s="398">
        <f>SUM(B7:B53)</f>
        <v>19217</v>
      </c>
      <c r="C6" s="454">
        <f>SUM(C7:C53)</f>
        <v>19147</v>
      </c>
      <c r="D6" s="455">
        <f>SUM(D7:D53)</f>
        <v>23</v>
      </c>
      <c r="E6" s="456">
        <f>SUM(E7:E53)</f>
        <v>47</v>
      </c>
      <c r="F6" s="400">
        <f>SUM(C6:E6)</f>
        <v>19217</v>
      </c>
    </row>
    <row r="7" spans="1:7" ht="15.75" x14ac:dyDescent="0.2">
      <c r="A7" s="378">
        <v>44456</v>
      </c>
      <c r="B7" s="379">
        <f>SUM(C7:E7)</f>
        <v>1</v>
      </c>
      <c r="C7" s="380">
        <v>0</v>
      </c>
      <c r="D7" s="381">
        <v>0</v>
      </c>
      <c r="E7" s="382">
        <v>1</v>
      </c>
    </row>
    <row r="8" spans="1:7" s="388" customFormat="1" ht="15.75" x14ac:dyDescent="0.2">
      <c r="A8" s="383">
        <v>44457</v>
      </c>
      <c r="B8" s="394"/>
      <c r="C8" s="385"/>
      <c r="D8" s="386"/>
      <c r="E8" s="387"/>
    </row>
    <row r="9" spans="1:7" s="388" customFormat="1" ht="15.75" x14ac:dyDescent="0.2">
      <c r="A9" s="383">
        <v>44458</v>
      </c>
      <c r="B9" s="396"/>
      <c r="C9" s="385"/>
      <c r="D9" s="386"/>
      <c r="E9" s="387"/>
    </row>
    <row r="10" spans="1:7" s="388" customFormat="1" ht="15.75" x14ac:dyDescent="0.2">
      <c r="A10" s="383">
        <v>44459</v>
      </c>
      <c r="B10" s="389">
        <f>SUM(C10:E10)</f>
        <v>5</v>
      </c>
      <c r="C10" s="390">
        <v>5</v>
      </c>
      <c r="D10" s="391">
        <v>0</v>
      </c>
      <c r="E10" s="392">
        <v>0</v>
      </c>
    </row>
    <row r="11" spans="1:7" s="388" customFormat="1" ht="15.75" x14ac:dyDescent="0.2">
      <c r="A11" s="383">
        <v>44460</v>
      </c>
      <c r="B11" s="389">
        <f>SUM(C11:E11)</f>
        <v>122</v>
      </c>
      <c r="C11" s="390">
        <f>68+54</f>
        <v>122</v>
      </c>
      <c r="D11" s="391">
        <v>0</v>
      </c>
      <c r="E11" s="392">
        <v>0</v>
      </c>
    </row>
    <row r="12" spans="1:7" s="388" customFormat="1" ht="15.75" x14ac:dyDescent="0.2">
      <c r="A12" s="383">
        <v>44461</v>
      </c>
      <c r="B12" s="389">
        <f>SUM(C12:E12)</f>
        <v>103</v>
      </c>
      <c r="C12" s="390">
        <f>79+24</f>
        <v>103</v>
      </c>
      <c r="D12" s="391">
        <v>0</v>
      </c>
      <c r="E12" s="392">
        <v>0</v>
      </c>
    </row>
    <row r="13" spans="1:7" s="388" customFormat="1" ht="15.75" x14ac:dyDescent="0.2">
      <c r="A13" s="383">
        <v>44462</v>
      </c>
      <c r="B13" s="389">
        <f>SUM(C13:E13)</f>
        <v>208</v>
      </c>
      <c r="C13" s="390">
        <f>66+142</f>
        <v>208</v>
      </c>
      <c r="D13" s="391">
        <v>0</v>
      </c>
      <c r="E13" s="392">
        <v>0</v>
      </c>
    </row>
    <row r="14" spans="1:7" s="388" customFormat="1" ht="15.75" x14ac:dyDescent="0.2">
      <c r="A14" s="383">
        <v>44463</v>
      </c>
      <c r="B14" s="389">
        <f>SUM(C14:E14)</f>
        <v>116</v>
      </c>
      <c r="C14" s="390">
        <f>80+36</f>
        <v>116</v>
      </c>
      <c r="D14" s="391">
        <v>0</v>
      </c>
      <c r="E14" s="392">
        <v>0</v>
      </c>
    </row>
    <row r="15" spans="1:7" s="388" customFormat="1" ht="15.75" x14ac:dyDescent="0.2">
      <c r="A15" s="383">
        <v>44464</v>
      </c>
      <c r="B15" s="396"/>
      <c r="C15" s="385"/>
      <c r="D15" s="386"/>
      <c r="E15" s="387"/>
    </row>
    <row r="16" spans="1:7" s="388" customFormat="1" ht="15.75" x14ac:dyDescent="0.2">
      <c r="A16" s="383">
        <v>44465</v>
      </c>
      <c r="B16" s="396"/>
      <c r="C16" s="385"/>
      <c r="D16" s="386"/>
      <c r="E16" s="387"/>
    </row>
    <row r="17" spans="1:5" s="388" customFormat="1" ht="15.75" x14ac:dyDescent="0.2">
      <c r="A17" s="383">
        <v>44466</v>
      </c>
      <c r="B17" s="389">
        <f>SUM(C17:E17)</f>
        <v>297</v>
      </c>
      <c r="C17" s="390">
        <f>269+28</f>
        <v>297</v>
      </c>
      <c r="D17" s="391">
        <v>0</v>
      </c>
      <c r="E17" s="392">
        <v>0</v>
      </c>
    </row>
    <row r="18" spans="1:5" s="388" customFormat="1" ht="15.75" x14ac:dyDescent="0.2">
      <c r="A18" s="383">
        <v>44467</v>
      </c>
      <c r="B18" s="389">
        <f>SUM(C18:E18)</f>
        <v>374</v>
      </c>
      <c r="C18" s="390">
        <f>92+279+2</f>
        <v>373</v>
      </c>
      <c r="D18" s="391">
        <v>1</v>
      </c>
      <c r="E18" s="392">
        <v>0</v>
      </c>
    </row>
    <row r="19" spans="1:5" s="388" customFormat="1" ht="15.75" x14ac:dyDescent="0.2">
      <c r="A19" s="383">
        <v>44468</v>
      </c>
      <c r="B19" s="389">
        <f>SUM(C19:E19)</f>
        <v>92</v>
      </c>
      <c r="C19" s="390">
        <f>78+15-1</f>
        <v>92</v>
      </c>
      <c r="D19" s="391">
        <v>0</v>
      </c>
      <c r="E19" s="392">
        <v>0</v>
      </c>
    </row>
    <row r="20" spans="1:5" s="388" customFormat="1" ht="15.75" x14ac:dyDescent="0.2">
      <c r="A20" s="383">
        <v>44469</v>
      </c>
      <c r="B20" s="389">
        <f>SUM(C20:E20)</f>
        <v>249</v>
      </c>
      <c r="C20" s="390">
        <f>95+154</f>
        <v>249</v>
      </c>
      <c r="D20" s="391">
        <v>0</v>
      </c>
      <c r="E20" s="392">
        <v>0</v>
      </c>
    </row>
    <row r="21" spans="1:5" s="388" customFormat="1" ht="15.75" x14ac:dyDescent="0.2">
      <c r="A21" s="383">
        <v>44470</v>
      </c>
      <c r="B21" s="389">
        <f>SUM(C21:E21)</f>
        <v>158</v>
      </c>
      <c r="C21" s="390">
        <f>119+39</f>
        <v>158</v>
      </c>
      <c r="D21" s="391">
        <v>0</v>
      </c>
      <c r="E21" s="392">
        <v>0</v>
      </c>
    </row>
    <row r="22" spans="1:5" s="388" customFormat="1" ht="15.75" x14ac:dyDescent="0.2">
      <c r="A22" s="383">
        <v>44471</v>
      </c>
      <c r="B22" s="396"/>
      <c r="C22" s="385"/>
      <c r="D22" s="386"/>
      <c r="E22" s="387"/>
    </row>
    <row r="23" spans="1:5" s="388" customFormat="1" ht="15.75" x14ac:dyDescent="0.2">
      <c r="A23" s="383">
        <v>44472</v>
      </c>
      <c r="B23" s="394"/>
      <c r="C23" s="385"/>
      <c r="D23" s="386"/>
      <c r="E23" s="387"/>
    </row>
    <row r="24" spans="1:5" s="388" customFormat="1" ht="15.75" x14ac:dyDescent="0.2">
      <c r="A24" s="383">
        <v>44473</v>
      </c>
      <c r="B24" s="389">
        <f>SUM(C24:E24)</f>
        <v>351</v>
      </c>
      <c r="C24" s="390">
        <f>340+11</f>
        <v>351</v>
      </c>
      <c r="D24" s="391">
        <v>0</v>
      </c>
      <c r="E24" s="392">
        <v>0</v>
      </c>
    </row>
    <row r="25" spans="1:5" s="395" customFormat="1" ht="15.75" x14ac:dyDescent="0.2">
      <c r="A25" s="383">
        <v>44474</v>
      </c>
      <c r="B25" s="389">
        <f>SUM(C25:E25)</f>
        <v>336</v>
      </c>
      <c r="C25" s="390">
        <f>89+247</f>
        <v>336</v>
      </c>
      <c r="D25" s="391">
        <v>0</v>
      </c>
      <c r="E25" s="392">
        <v>0</v>
      </c>
    </row>
    <row r="26" spans="1:5" s="388" customFormat="1" ht="15.75" x14ac:dyDescent="0.2">
      <c r="A26" s="383">
        <v>44475</v>
      </c>
      <c r="B26" s="389">
        <f>SUM(C26:E26)</f>
        <v>87</v>
      </c>
      <c r="C26" s="390">
        <f>71+16</f>
        <v>87</v>
      </c>
      <c r="D26" s="391">
        <v>0</v>
      </c>
      <c r="E26" s="392">
        <v>0</v>
      </c>
    </row>
    <row r="27" spans="1:5" s="388" customFormat="1" ht="15.75" x14ac:dyDescent="0.2">
      <c r="A27" s="383">
        <v>44476</v>
      </c>
      <c r="B27" s="389">
        <f>SUM(C27:E27)</f>
        <v>230</v>
      </c>
      <c r="C27" s="390">
        <f>93+136</f>
        <v>229</v>
      </c>
      <c r="D27" s="391">
        <v>0</v>
      </c>
      <c r="E27" s="392">
        <v>1</v>
      </c>
    </row>
    <row r="28" spans="1:5" s="388" customFormat="1" ht="15.75" x14ac:dyDescent="0.2">
      <c r="A28" s="383">
        <v>44477</v>
      </c>
      <c r="B28" s="389">
        <f>SUM(C28:E28)</f>
        <v>121</v>
      </c>
      <c r="C28" s="390">
        <f>109+11</f>
        <v>120</v>
      </c>
      <c r="D28" s="391">
        <v>0</v>
      </c>
      <c r="E28" s="392">
        <v>1</v>
      </c>
    </row>
    <row r="29" spans="1:5" s="388" customFormat="1" ht="15.75" x14ac:dyDescent="0.2">
      <c r="A29" s="383">
        <v>44478</v>
      </c>
      <c r="B29" s="396"/>
      <c r="C29" s="385"/>
      <c r="D29" s="386"/>
      <c r="E29" s="387"/>
    </row>
    <row r="30" spans="1:5" s="388" customFormat="1" ht="15.75" x14ac:dyDescent="0.2">
      <c r="A30" s="383">
        <v>44479</v>
      </c>
      <c r="B30" s="394"/>
      <c r="C30" s="385"/>
      <c r="D30" s="386"/>
      <c r="E30" s="387"/>
    </row>
    <row r="31" spans="1:5" s="388" customFormat="1" ht="15.75" x14ac:dyDescent="0.2">
      <c r="A31" s="383">
        <v>44480</v>
      </c>
      <c r="B31" s="389">
        <f>SUM(C31:E31)</f>
        <v>331</v>
      </c>
      <c r="C31" s="390">
        <f>303+28</f>
        <v>331</v>
      </c>
      <c r="D31" s="391">
        <v>0</v>
      </c>
      <c r="E31" s="392">
        <v>0</v>
      </c>
    </row>
    <row r="32" spans="1:5" s="388" customFormat="1" ht="15.75" x14ac:dyDescent="0.2">
      <c r="A32" s="383">
        <v>44481</v>
      </c>
      <c r="B32" s="389">
        <f>SUM(C32:E32)</f>
        <v>303</v>
      </c>
      <c r="C32" s="390">
        <f>101+202</f>
        <v>303</v>
      </c>
      <c r="D32" s="391">
        <v>0</v>
      </c>
      <c r="E32" s="392">
        <v>0</v>
      </c>
    </row>
    <row r="33" spans="1:7" s="388" customFormat="1" ht="15.75" x14ac:dyDescent="0.2">
      <c r="A33" s="383">
        <v>44482</v>
      </c>
      <c r="B33" s="389">
        <f>SUM(C33:E33)</f>
        <v>115</v>
      </c>
      <c r="C33" s="390">
        <f>93+21</f>
        <v>114</v>
      </c>
      <c r="D33" s="391">
        <v>0</v>
      </c>
      <c r="E33" s="392">
        <v>1</v>
      </c>
    </row>
    <row r="34" spans="1:7" s="388" customFormat="1" ht="15.75" x14ac:dyDescent="0.2">
      <c r="A34" s="383">
        <v>44483</v>
      </c>
      <c r="B34" s="389">
        <f>SUM(C34:E34)</f>
        <v>342</v>
      </c>
      <c r="C34" s="390">
        <f>126+215</f>
        <v>341</v>
      </c>
      <c r="D34" s="391">
        <v>1</v>
      </c>
      <c r="E34" s="392">
        <v>0</v>
      </c>
    </row>
    <row r="35" spans="1:7" s="388" customFormat="1" ht="15.75" x14ac:dyDescent="0.2">
      <c r="A35" s="383">
        <v>44484</v>
      </c>
      <c r="B35" s="389">
        <f>SUM(C35:E35)</f>
        <v>166</v>
      </c>
      <c r="C35" s="390">
        <f>144+22</f>
        <v>166</v>
      </c>
      <c r="D35" s="391">
        <v>0</v>
      </c>
      <c r="E35" s="392">
        <v>0</v>
      </c>
    </row>
    <row r="36" spans="1:7" s="388" customFormat="1" ht="15.75" x14ac:dyDescent="0.2">
      <c r="A36" s="383">
        <v>44485</v>
      </c>
      <c r="B36" s="394"/>
      <c r="C36" s="385"/>
      <c r="D36" s="386"/>
      <c r="E36" s="387"/>
    </row>
    <row r="37" spans="1:7" s="388" customFormat="1" ht="15.75" x14ac:dyDescent="0.2">
      <c r="A37" s="383">
        <v>44486</v>
      </c>
      <c r="B37" s="394"/>
      <c r="C37" s="385"/>
      <c r="D37" s="386"/>
      <c r="E37" s="387"/>
    </row>
    <row r="38" spans="1:7" s="388" customFormat="1" ht="15.75" x14ac:dyDescent="0.2">
      <c r="A38" s="383">
        <v>44487</v>
      </c>
      <c r="B38" s="389">
        <f t="shared" ref="B38:B44" si="0">SUM(C38:E38)</f>
        <v>476</v>
      </c>
      <c r="C38" s="390">
        <f>462+13</f>
        <v>475</v>
      </c>
      <c r="D38" s="391">
        <v>0</v>
      </c>
      <c r="E38" s="392">
        <v>1</v>
      </c>
    </row>
    <row r="39" spans="1:7" s="388" customFormat="1" ht="15.75" x14ac:dyDescent="0.2">
      <c r="A39" s="383">
        <v>44488</v>
      </c>
      <c r="B39" s="389">
        <f t="shared" si="0"/>
        <v>275</v>
      </c>
      <c r="C39" s="390">
        <f>129+146</f>
        <v>275</v>
      </c>
      <c r="D39" s="391">
        <v>0</v>
      </c>
      <c r="E39" s="392">
        <v>0</v>
      </c>
    </row>
    <row r="40" spans="1:7" s="388" customFormat="1" ht="15.75" x14ac:dyDescent="0.2">
      <c r="A40" s="383">
        <v>44489</v>
      </c>
      <c r="B40" s="389">
        <f t="shared" si="0"/>
        <v>321</v>
      </c>
      <c r="C40" s="390">
        <f>118+203</f>
        <v>321</v>
      </c>
      <c r="D40" s="391">
        <v>0</v>
      </c>
      <c r="E40" s="392">
        <v>0</v>
      </c>
    </row>
    <row r="41" spans="1:7" s="388" customFormat="1" ht="15.75" x14ac:dyDescent="0.2">
      <c r="A41" s="383">
        <v>44490</v>
      </c>
      <c r="B41" s="389">
        <f t="shared" si="0"/>
        <v>278</v>
      </c>
      <c r="C41" s="390">
        <f>109+169</f>
        <v>278</v>
      </c>
      <c r="D41" s="391">
        <v>0</v>
      </c>
      <c r="E41" s="392">
        <v>0</v>
      </c>
    </row>
    <row r="42" spans="1:7" s="388" customFormat="1" ht="15.75" x14ac:dyDescent="0.2">
      <c r="A42" s="383">
        <v>44491</v>
      </c>
      <c r="B42" s="389">
        <f t="shared" si="0"/>
        <v>1143</v>
      </c>
      <c r="C42" s="390">
        <f>154+986</f>
        <v>1140</v>
      </c>
      <c r="D42" s="391">
        <v>3</v>
      </c>
      <c r="E42" s="392">
        <v>0</v>
      </c>
    </row>
    <row r="43" spans="1:7" s="388" customFormat="1" ht="15.75" x14ac:dyDescent="0.2">
      <c r="A43" s="383">
        <v>44492</v>
      </c>
      <c r="B43" s="389">
        <f t="shared" si="0"/>
        <v>107</v>
      </c>
      <c r="C43" s="390">
        <v>107</v>
      </c>
      <c r="D43" s="391">
        <v>0</v>
      </c>
      <c r="E43" s="392">
        <v>0</v>
      </c>
    </row>
    <row r="44" spans="1:7" s="395" customFormat="1" ht="15.75" x14ac:dyDescent="0.2">
      <c r="A44" s="512">
        <v>44493</v>
      </c>
      <c r="B44" s="408">
        <f t="shared" si="0"/>
        <v>501</v>
      </c>
      <c r="C44" s="514">
        <v>501</v>
      </c>
      <c r="D44" s="513">
        <v>0</v>
      </c>
      <c r="E44" s="507">
        <v>0</v>
      </c>
    </row>
    <row r="45" spans="1:7" s="388" customFormat="1" ht="15.75" x14ac:dyDescent="0.2">
      <c r="A45" s="383">
        <v>44494</v>
      </c>
      <c r="B45" s="408">
        <f t="shared" ref="B45:B50" si="1">SUM(C45:E45)</f>
        <v>1813</v>
      </c>
      <c r="C45" s="506">
        <v>1808</v>
      </c>
      <c r="D45" s="423">
        <v>3</v>
      </c>
      <c r="E45" s="507">
        <v>2</v>
      </c>
    </row>
    <row r="46" spans="1:7" s="388" customFormat="1" ht="15.75" x14ac:dyDescent="0.2">
      <c r="A46" s="383">
        <v>44495</v>
      </c>
      <c r="B46" s="408">
        <f t="shared" si="1"/>
        <v>882</v>
      </c>
      <c r="C46" s="390">
        <f>153+726</f>
        <v>879</v>
      </c>
      <c r="D46" s="391">
        <v>1</v>
      </c>
      <c r="E46" s="392">
        <v>2</v>
      </c>
      <c r="G46" s="487"/>
    </row>
    <row r="47" spans="1:7" s="388" customFormat="1" ht="15.75" x14ac:dyDescent="0.2">
      <c r="A47" s="383">
        <v>44496</v>
      </c>
      <c r="B47" s="389">
        <f t="shared" si="1"/>
        <v>1027</v>
      </c>
      <c r="C47" s="390">
        <f>208+818</f>
        <v>1026</v>
      </c>
      <c r="D47" s="391">
        <v>1</v>
      </c>
      <c r="E47" s="392">
        <v>0</v>
      </c>
    </row>
    <row r="48" spans="1:7" s="388" customFormat="1" ht="15.75" x14ac:dyDescent="0.2">
      <c r="A48" s="383">
        <v>44497</v>
      </c>
      <c r="B48" s="389">
        <f t="shared" si="1"/>
        <v>590</v>
      </c>
      <c r="C48" s="390">
        <v>590</v>
      </c>
      <c r="D48" s="391">
        <v>0</v>
      </c>
      <c r="E48" s="392">
        <v>0</v>
      </c>
    </row>
    <row r="49" spans="1:5" s="388" customFormat="1" ht="15.75" x14ac:dyDescent="0.2">
      <c r="A49" s="383">
        <v>44498</v>
      </c>
      <c r="B49" s="389">
        <f t="shared" si="1"/>
        <v>1242</v>
      </c>
      <c r="C49" s="390">
        <f>185+1050</f>
        <v>1235</v>
      </c>
      <c r="D49" s="391">
        <v>0</v>
      </c>
      <c r="E49" s="392">
        <v>7</v>
      </c>
    </row>
    <row r="50" spans="1:5" s="388" customFormat="1" ht="15.75" x14ac:dyDescent="0.2">
      <c r="A50" s="383">
        <v>44499</v>
      </c>
      <c r="B50" s="389">
        <f t="shared" si="1"/>
        <v>2165</v>
      </c>
      <c r="C50" s="390">
        <f>309+1843</f>
        <v>2152</v>
      </c>
      <c r="D50" s="391">
        <v>0</v>
      </c>
      <c r="E50" s="392">
        <v>13</v>
      </c>
    </row>
    <row r="51" spans="1:5" s="388" customFormat="1" ht="15.75" x14ac:dyDescent="0.2">
      <c r="A51" s="554">
        <v>44500</v>
      </c>
      <c r="B51" s="396"/>
      <c r="C51" s="385"/>
      <c r="D51" s="386"/>
      <c r="E51" s="387"/>
    </row>
    <row r="52" spans="1:5" s="388" customFormat="1" ht="15.75" x14ac:dyDescent="0.2">
      <c r="A52" s="383">
        <v>44501</v>
      </c>
      <c r="B52" s="492">
        <f>SUM(C52:E52)</f>
        <v>618</v>
      </c>
      <c r="C52" s="519">
        <v>611</v>
      </c>
      <c r="D52" s="520">
        <v>2</v>
      </c>
      <c r="E52" s="521">
        <v>5</v>
      </c>
    </row>
    <row r="53" spans="1:5" s="388" customFormat="1" ht="16.5" thickBot="1" x14ac:dyDescent="0.25">
      <c r="A53" s="397">
        <v>44502</v>
      </c>
      <c r="B53" s="555">
        <f>SUM(C53:E53)</f>
        <v>3672</v>
      </c>
      <c r="C53" s="516">
        <f>3224+424</f>
        <v>3648</v>
      </c>
      <c r="D53" s="517">
        <f>4+7</f>
        <v>11</v>
      </c>
      <c r="E53" s="518">
        <f>12+1</f>
        <v>13</v>
      </c>
    </row>
    <row r="54" spans="1:5" x14ac:dyDescent="0.2">
      <c r="C54" s="399"/>
      <c r="D54" s="399"/>
      <c r="E54" s="399"/>
    </row>
    <row r="55" spans="1:5" x14ac:dyDescent="0.2">
      <c r="D55" s="400" t="e">
        <f>SUM(#REF!)</f>
        <v>#REF!</v>
      </c>
    </row>
  </sheetData>
  <sheetProtection algorithmName="SHA-512" hashValue="bzzLSJe7dMh67ncUDpbHdPW1xStlscVdfMhkJprRsBuIG6KUSDC99p8Q9F+X7rp6oVs/n5JW9XyG8G0sKEDVlA==" saltValue="bn/MuzV1jTijqe09vYJJtg==" spinCount="100000" sheet="1" objects="1" scenarios="1"/>
  <mergeCells count="3">
    <mergeCell ref="A1:E1"/>
    <mergeCell ref="A2:E2"/>
    <mergeCell ref="A4:E4"/>
  </mergeCells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D6DD1-0869-4C1D-835B-7633A46B1AA5}">
  <dimension ref="A1:R59"/>
  <sheetViews>
    <sheetView showGridLines="0" zoomScale="85" zoomScaleNormal="85" workbookViewId="0">
      <pane ySplit="5" topLeftCell="A30" activePane="bottomLeft" state="frozen"/>
      <selection pane="bottomLeft" activeCell="E53" sqref="E53"/>
    </sheetView>
  </sheetViews>
  <sheetFormatPr defaultColWidth="9" defaultRowHeight="14.25" x14ac:dyDescent="0.2"/>
  <cols>
    <col min="1" max="1" width="11.75" style="357" customWidth="1"/>
    <col min="2" max="2" width="10.125" style="366" customWidth="1"/>
    <col min="3" max="4" width="9.625" style="366" customWidth="1"/>
    <col min="5" max="5" width="15.375" style="357" bestFit="1" customWidth="1"/>
    <col min="6" max="6" width="9" style="357"/>
    <col min="7" max="7" width="11.125" style="357" customWidth="1"/>
    <col min="8" max="8" width="10.25" style="357" customWidth="1"/>
    <col min="9" max="9" width="10" style="357" customWidth="1"/>
    <col min="10" max="13" width="9" style="357"/>
    <col min="14" max="14" width="12.75" style="357" customWidth="1"/>
    <col min="15" max="15" width="9" style="357"/>
    <col min="16" max="16" width="10.625" style="357" customWidth="1"/>
    <col min="17" max="17" width="9" style="357"/>
    <col min="18" max="18" width="10.625" style="357" customWidth="1"/>
    <col min="19" max="16384" width="9" style="357"/>
  </cols>
  <sheetData>
    <row r="1" spans="1:18" ht="36.75" customHeight="1" x14ac:dyDescent="0.25">
      <c r="A1" s="561" t="s">
        <v>12</v>
      </c>
      <c r="B1" s="561"/>
      <c r="C1" s="561"/>
      <c r="D1" s="561"/>
      <c r="E1" s="561"/>
    </row>
    <row r="2" spans="1:18" ht="27" customHeight="1" x14ac:dyDescent="0.25">
      <c r="A2" s="582" t="s">
        <v>95</v>
      </c>
      <c r="B2" s="582"/>
      <c r="C2" s="582"/>
      <c r="D2" s="582"/>
      <c r="E2" s="582"/>
    </row>
    <row r="3" spans="1:18" ht="12.75" customHeight="1" x14ac:dyDescent="0.25">
      <c r="A3" s="372"/>
      <c r="B3" s="373"/>
      <c r="C3" s="373"/>
      <c r="D3" s="409"/>
    </row>
    <row r="4" spans="1:18" s="416" customFormat="1" ht="30.75" thickBot="1" x14ac:dyDescent="0.3">
      <c r="A4" s="410" t="s">
        <v>5</v>
      </c>
      <c r="B4" s="411" t="s">
        <v>1</v>
      </c>
      <c r="C4" s="412" t="s">
        <v>96</v>
      </c>
      <c r="D4" s="413" t="s">
        <v>24</v>
      </c>
      <c r="E4" s="414" t="s">
        <v>25</v>
      </c>
      <c r="F4" s="415" t="s">
        <v>16</v>
      </c>
      <c r="G4" s="415" t="s">
        <v>17</v>
      </c>
      <c r="H4" s="415" t="s">
        <v>18</v>
      </c>
      <c r="I4" s="415" t="s">
        <v>97</v>
      </c>
      <c r="J4" s="415" t="s">
        <v>19</v>
      </c>
      <c r="K4" s="415" t="s">
        <v>20</v>
      </c>
      <c r="L4" s="415" t="s">
        <v>22</v>
      </c>
      <c r="M4" s="415" t="s">
        <v>23</v>
      </c>
      <c r="N4" s="415" t="s">
        <v>26</v>
      </c>
      <c r="O4" s="415" t="s">
        <v>27</v>
      </c>
      <c r="P4" s="415" t="s">
        <v>28</v>
      </c>
      <c r="Q4" s="415" t="s">
        <v>29</v>
      </c>
      <c r="R4" s="415" t="s">
        <v>30</v>
      </c>
    </row>
    <row r="5" spans="1:18" s="388" customFormat="1" ht="26.25" customHeight="1" thickBot="1" x14ac:dyDescent="0.25">
      <c r="A5" s="453" t="s">
        <v>1</v>
      </c>
      <c r="B5" s="398">
        <f t="shared" ref="B5:R5" si="0">SUM(B6:B50)</f>
        <v>109764</v>
      </c>
      <c r="C5" s="455">
        <f t="shared" si="0"/>
        <v>24632</v>
      </c>
      <c r="D5" s="459">
        <f t="shared" si="0"/>
        <v>11337</v>
      </c>
      <c r="E5" s="459">
        <f t="shared" si="0"/>
        <v>11433</v>
      </c>
      <c r="F5" s="459">
        <f t="shared" si="0"/>
        <v>5264</v>
      </c>
      <c r="G5" s="459">
        <f t="shared" si="0"/>
        <v>4173</v>
      </c>
      <c r="H5" s="459">
        <f>SUM(H6:H50)</f>
        <v>5248</v>
      </c>
      <c r="I5" s="459">
        <f>SUM(I6:I50)</f>
        <v>1266</v>
      </c>
      <c r="J5" s="459">
        <f t="shared" si="0"/>
        <v>3148</v>
      </c>
      <c r="K5" s="459">
        <f t="shared" si="0"/>
        <v>4161</v>
      </c>
      <c r="L5" s="459">
        <f t="shared" si="0"/>
        <v>6137</v>
      </c>
      <c r="M5" s="459">
        <f t="shared" si="0"/>
        <v>7860</v>
      </c>
      <c r="N5" s="459">
        <f t="shared" si="0"/>
        <v>5480</v>
      </c>
      <c r="O5" s="459">
        <f t="shared" si="0"/>
        <v>3672</v>
      </c>
      <c r="P5" s="459">
        <f t="shared" si="0"/>
        <v>3558</v>
      </c>
      <c r="Q5" s="459">
        <f t="shared" si="0"/>
        <v>5175</v>
      </c>
      <c r="R5" s="459">
        <f t="shared" si="0"/>
        <v>7220</v>
      </c>
    </row>
    <row r="6" spans="1:18" ht="15.75" x14ac:dyDescent="0.2">
      <c r="A6" s="378">
        <v>44456</v>
      </c>
      <c r="B6" s="379">
        <f>SUM(C6:R6)</f>
        <v>1003</v>
      </c>
      <c r="C6" s="381">
        <v>579</v>
      </c>
      <c r="D6" s="417">
        <v>195</v>
      </c>
      <c r="E6" s="417">
        <v>229</v>
      </c>
      <c r="F6" s="418"/>
      <c r="G6" s="418"/>
      <c r="H6" s="418"/>
      <c r="I6" s="418"/>
      <c r="J6" s="418"/>
      <c r="K6" s="418"/>
      <c r="L6" s="418"/>
      <c r="M6" s="418"/>
      <c r="N6" s="418"/>
      <c r="O6" s="418"/>
      <c r="P6" s="418"/>
      <c r="Q6" s="418"/>
      <c r="R6" s="418"/>
    </row>
    <row r="7" spans="1:18" s="388" customFormat="1" ht="15.75" x14ac:dyDescent="0.2">
      <c r="A7" s="383">
        <v>44457</v>
      </c>
      <c r="B7" s="419">
        <f>SUM(C7:R7)</f>
        <v>847</v>
      </c>
      <c r="C7" s="391">
        <v>391</v>
      </c>
      <c r="D7" s="420">
        <v>210</v>
      </c>
      <c r="E7" s="420">
        <v>246</v>
      </c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421"/>
    </row>
    <row r="8" spans="1:18" s="388" customFormat="1" ht="15.75" x14ac:dyDescent="0.2">
      <c r="A8" s="383">
        <v>44458</v>
      </c>
      <c r="B8" s="394"/>
      <c r="C8" s="386"/>
      <c r="D8" s="421"/>
      <c r="E8" s="421"/>
      <c r="F8" s="421"/>
      <c r="G8" s="421"/>
      <c r="H8" s="421"/>
      <c r="I8" s="421"/>
      <c r="J8" s="421"/>
      <c r="K8" s="421"/>
      <c r="L8" s="421"/>
      <c r="M8" s="421"/>
      <c r="N8" s="421"/>
      <c r="O8" s="421"/>
      <c r="P8" s="421"/>
      <c r="Q8" s="421"/>
      <c r="R8" s="421"/>
    </row>
    <row r="9" spans="1:18" s="388" customFormat="1" ht="15.75" x14ac:dyDescent="0.2">
      <c r="A9" s="383">
        <v>44459</v>
      </c>
      <c r="B9" s="389">
        <f>SUM(C9:E9)</f>
        <v>823</v>
      </c>
      <c r="C9" s="391">
        <v>456</v>
      </c>
      <c r="D9" s="420">
        <v>185</v>
      </c>
      <c r="E9" s="420">
        <v>182</v>
      </c>
      <c r="F9" s="421"/>
      <c r="G9" s="421"/>
      <c r="H9" s="421"/>
      <c r="I9" s="421"/>
      <c r="J9" s="421"/>
      <c r="K9" s="421"/>
      <c r="L9" s="421"/>
      <c r="M9" s="421"/>
      <c r="N9" s="421"/>
      <c r="O9" s="421"/>
      <c r="P9" s="421"/>
      <c r="Q9" s="421"/>
      <c r="R9" s="421"/>
    </row>
    <row r="10" spans="1:18" s="388" customFormat="1" ht="15.75" x14ac:dyDescent="0.2">
      <c r="A10" s="383">
        <v>44460</v>
      </c>
      <c r="B10" s="389">
        <f>SUM(C10:E10)</f>
        <v>690</v>
      </c>
      <c r="C10" s="391">
        <v>382</v>
      </c>
      <c r="D10" s="420">
        <v>178</v>
      </c>
      <c r="E10" s="420">
        <v>130</v>
      </c>
      <c r="F10" s="421"/>
      <c r="G10" s="421"/>
      <c r="H10" s="421"/>
      <c r="I10" s="421"/>
      <c r="J10" s="421"/>
      <c r="K10" s="421"/>
      <c r="L10" s="421"/>
      <c r="M10" s="421"/>
      <c r="N10" s="421"/>
      <c r="O10" s="421"/>
      <c r="P10" s="421"/>
      <c r="Q10" s="421"/>
      <c r="R10" s="421"/>
    </row>
    <row r="11" spans="1:18" s="388" customFormat="1" ht="15.75" x14ac:dyDescent="0.2">
      <c r="A11" s="383">
        <v>44461</v>
      </c>
      <c r="B11" s="389">
        <f>SUM(C11:E11)</f>
        <v>629</v>
      </c>
      <c r="C11" s="391">
        <v>367</v>
      </c>
      <c r="D11" s="420">
        <v>145</v>
      </c>
      <c r="E11" s="420">
        <v>117</v>
      </c>
      <c r="F11" s="421"/>
      <c r="G11" s="421"/>
      <c r="H11" s="421"/>
      <c r="I11" s="421"/>
      <c r="J11" s="421"/>
      <c r="K11" s="421"/>
      <c r="L11" s="421"/>
      <c r="M11" s="421"/>
      <c r="N11" s="421"/>
      <c r="O11" s="421"/>
      <c r="P11" s="421"/>
      <c r="Q11" s="421"/>
      <c r="R11" s="421"/>
    </row>
    <row r="12" spans="1:18" s="388" customFormat="1" ht="15.75" x14ac:dyDescent="0.2">
      <c r="A12" s="383">
        <v>44462</v>
      </c>
      <c r="B12" s="389">
        <f>SUM(C12:E12)</f>
        <v>719</v>
      </c>
      <c r="C12" s="391">
        <v>431</v>
      </c>
      <c r="D12" s="420">
        <v>150</v>
      </c>
      <c r="E12" s="420">
        <v>138</v>
      </c>
      <c r="F12" s="421"/>
      <c r="G12" s="421"/>
      <c r="H12" s="421"/>
      <c r="I12" s="421"/>
      <c r="J12" s="421"/>
      <c r="K12" s="421"/>
      <c r="L12" s="421"/>
      <c r="M12" s="421"/>
      <c r="N12" s="421"/>
      <c r="O12" s="421"/>
      <c r="P12" s="421"/>
      <c r="Q12" s="421"/>
      <c r="R12" s="421"/>
    </row>
    <row r="13" spans="1:18" s="388" customFormat="1" ht="15.75" x14ac:dyDescent="0.2">
      <c r="A13" s="383">
        <v>44463</v>
      </c>
      <c r="B13" s="389">
        <f>SUM(C13:E13)</f>
        <v>824</v>
      </c>
      <c r="C13" s="391">
        <v>476</v>
      </c>
      <c r="D13" s="420">
        <v>164</v>
      </c>
      <c r="E13" s="420">
        <v>184</v>
      </c>
      <c r="F13" s="421"/>
      <c r="G13" s="421"/>
      <c r="H13" s="421"/>
      <c r="I13" s="421"/>
      <c r="J13" s="421"/>
      <c r="K13" s="421"/>
      <c r="L13" s="421"/>
      <c r="M13" s="421"/>
      <c r="N13" s="421"/>
      <c r="O13" s="421"/>
      <c r="P13" s="421"/>
      <c r="Q13" s="421"/>
      <c r="R13" s="421"/>
    </row>
    <row r="14" spans="1:18" s="388" customFormat="1" ht="15.75" x14ac:dyDescent="0.2">
      <c r="A14" s="383">
        <v>44464</v>
      </c>
      <c r="B14" s="396"/>
      <c r="C14" s="386"/>
      <c r="D14" s="421"/>
      <c r="E14" s="421"/>
      <c r="F14" s="421"/>
      <c r="G14" s="421"/>
      <c r="H14" s="421"/>
      <c r="I14" s="421"/>
      <c r="J14" s="421"/>
      <c r="K14" s="421"/>
      <c r="L14" s="421"/>
      <c r="M14" s="421"/>
      <c r="N14" s="421"/>
      <c r="O14" s="421"/>
      <c r="P14" s="421"/>
      <c r="Q14" s="421"/>
      <c r="R14" s="421"/>
    </row>
    <row r="15" spans="1:18" s="388" customFormat="1" ht="15.75" x14ac:dyDescent="0.2">
      <c r="A15" s="383">
        <v>44465</v>
      </c>
      <c r="B15" s="396"/>
      <c r="C15" s="386"/>
      <c r="D15" s="421"/>
      <c r="E15" s="421"/>
      <c r="F15" s="421"/>
      <c r="G15" s="421"/>
      <c r="H15" s="421"/>
      <c r="I15" s="421"/>
      <c r="J15" s="421"/>
      <c r="K15" s="421"/>
      <c r="L15" s="421"/>
      <c r="M15" s="421"/>
      <c r="N15" s="421"/>
      <c r="O15" s="421"/>
      <c r="P15" s="421"/>
      <c r="Q15" s="421"/>
      <c r="R15" s="421"/>
    </row>
    <row r="16" spans="1:18" s="388" customFormat="1" ht="15.75" x14ac:dyDescent="0.2">
      <c r="A16" s="383">
        <v>44466</v>
      </c>
      <c r="B16" s="389">
        <f>SUM(C16:E16)</f>
        <v>817</v>
      </c>
      <c r="C16" s="391">
        <v>477</v>
      </c>
      <c r="D16" s="420">
        <v>158</v>
      </c>
      <c r="E16" s="420">
        <v>182</v>
      </c>
      <c r="F16" s="421"/>
      <c r="G16" s="421"/>
      <c r="H16" s="421"/>
      <c r="I16" s="421"/>
      <c r="J16" s="421"/>
      <c r="K16" s="421"/>
      <c r="L16" s="421"/>
      <c r="M16" s="421"/>
      <c r="N16" s="421"/>
      <c r="O16" s="421"/>
      <c r="P16" s="421"/>
      <c r="Q16" s="421"/>
      <c r="R16" s="421"/>
    </row>
    <row r="17" spans="1:18" s="388" customFormat="1" ht="15.75" x14ac:dyDescent="0.2">
      <c r="A17" s="383">
        <v>44467</v>
      </c>
      <c r="B17" s="389">
        <f>SUM(C17:E17)</f>
        <v>800</v>
      </c>
      <c r="C17" s="391">
        <v>492</v>
      </c>
      <c r="D17" s="420">
        <v>157</v>
      </c>
      <c r="E17" s="420">
        <v>151</v>
      </c>
      <c r="F17" s="421"/>
      <c r="G17" s="421"/>
      <c r="H17" s="421"/>
      <c r="I17" s="421"/>
      <c r="J17" s="421"/>
      <c r="K17" s="421"/>
      <c r="L17" s="421"/>
      <c r="M17" s="421"/>
      <c r="N17" s="421"/>
      <c r="O17" s="421"/>
      <c r="P17" s="421"/>
      <c r="Q17" s="421"/>
      <c r="R17" s="421"/>
    </row>
    <row r="18" spans="1:18" s="388" customFormat="1" ht="15.75" x14ac:dyDescent="0.2">
      <c r="A18" s="383">
        <v>44468</v>
      </c>
      <c r="B18" s="389">
        <f>SUM(C18:E18)</f>
        <v>951</v>
      </c>
      <c r="C18" s="391">
        <v>567</v>
      </c>
      <c r="D18" s="420">
        <v>215</v>
      </c>
      <c r="E18" s="420">
        <v>169</v>
      </c>
      <c r="F18" s="421"/>
      <c r="G18" s="421"/>
      <c r="H18" s="421"/>
      <c r="I18" s="421"/>
      <c r="J18" s="421"/>
      <c r="K18" s="421"/>
      <c r="L18" s="421"/>
      <c r="M18" s="421"/>
      <c r="N18" s="421"/>
      <c r="O18" s="421"/>
      <c r="P18" s="421"/>
      <c r="Q18" s="421"/>
      <c r="R18" s="421"/>
    </row>
    <row r="19" spans="1:18" s="388" customFormat="1" ht="15.75" x14ac:dyDescent="0.2">
      <c r="A19" s="383">
        <v>44469</v>
      </c>
      <c r="B19" s="389">
        <f>SUM(C19:E19)</f>
        <v>884</v>
      </c>
      <c r="C19" s="391">
        <v>531</v>
      </c>
      <c r="D19" s="420">
        <v>158</v>
      </c>
      <c r="E19" s="420">
        <v>195</v>
      </c>
      <c r="F19" s="421"/>
      <c r="G19" s="421"/>
      <c r="H19" s="421"/>
      <c r="I19" s="421"/>
      <c r="J19" s="421"/>
      <c r="K19" s="421"/>
      <c r="L19" s="421"/>
      <c r="M19" s="421"/>
      <c r="N19" s="421"/>
      <c r="O19" s="421"/>
      <c r="P19" s="421"/>
      <c r="Q19" s="421"/>
      <c r="R19" s="421"/>
    </row>
    <row r="20" spans="1:18" s="388" customFormat="1" ht="15.75" x14ac:dyDescent="0.2">
      <c r="A20" s="383">
        <v>44470</v>
      </c>
      <c r="B20" s="389">
        <f>SUM(C20:E20)</f>
        <v>1158</v>
      </c>
      <c r="C20" s="391">
        <v>682</v>
      </c>
      <c r="D20" s="420">
        <v>230</v>
      </c>
      <c r="E20" s="420">
        <v>246</v>
      </c>
      <c r="F20" s="421"/>
      <c r="G20" s="421"/>
      <c r="H20" s="421"/>
      <c r="I20" s="421"/>
      <c r="J20" s="421"/>
      <c r="K20" s="421"/>
      <c r="L20" s="421"/>
      <c r="M20" s="421"/>
      <c r="N20" s="421"/>
      <c r="O20" s="421"/>
      <c r="P20" s="421"/>
      <c r="Q20" s="421"/>
      <c r="R20" s="421"/>
    </row>
    <row r="21" spans="1:18" s="388" customFormat="1" ht="15.75" x14ac:dyDescent="0.2">
      <c r="A21" s="383">
        <v>44471</v>
      </c>
      <c r="B21" s="396"/>
      <c r="C21" s="386"/>
      <c r="D21" s="421"/>
      <c r="E21" s="421"/>
      <c r="F21" s="421"/>
      <c r="G21" s="421"/>
      <c r="H21" s="421"/>
      <c r="I21" s="421"/>
      <c r="J21" s="421"/>
      <c r="K21" s="421"/>
      <c r="L21" s="421"/>
      <c r="M21" s="421"/>
      <c r="N21" s="421"/>
      <c r="O21" s="421"/>
      <c r="P21" s="421"/>
      <c r="Q21" s="421"/>
      <c r="R21" s="421"/>
    </row>
    <row r="22" spans="1:18" s="388" customFormat="1" ht="15.75" x14ac:dyDescent="0.2">
      <c r="A22" s="383">
        <v>44472</v>
      </c>
      <c r="B22" s="394"/>
      <c r="C22" s="386"/>
      <c r="D22" s="421"/>
      <c r="E22" s="421"/>
      <c r="F22" s="421"/>
      <c r="G22" s="42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</row>
    <row r="23" spans="1:18" s="388" customFormat="1" ht="15.75" x14ac:dyDescent="0.2">
      <c r="A23" s="383">
        <v>44473</v>
      </c>
      <c r="B23" s="389">
        <f>SUM(C23:E23)</f>
        <v>1035</v>
      </c>
      <c r="C23" s="391">
        <v>591</v>
      </c>
      <c r="D23" s="420">
        <v>214</v>
      </c>
      <c r="E23" s="420">
        <v>230</v>
      </c>
      <c r="F23" s="421"/>
      <c r="G23" s="421"/>
      <c r="H23" s="421"/>
      <c r="I23" s="421"/>
      <c r="J23" s="421"/>
      <c r="K23" s="421"/>
      <c r="L23" s="421"/>
      <c r="M23" s="421"/>
      <c r="N23" s="421"/>
      <c r="O23" s="421"/>
      <c r="P23" s="421"/>
      <c r="Q23" s="421"/>
      <c r="R23" s="421"/>
    </row>
    <row r="24" spans="1:18" s="395" customFormat="1" ht="15.75" x14ac:dyDescent="0.2">
      <c r="A24" s="383">
        <v>44474</v>
      </c>
      <c r="B24" s="389">
        <f>SUM(C24:E24)</f>
        <v>976</v>
      </c>
      <c r="C24" s="391">
        <v>593</v>
      </c>
      <c r="D24" s="420">
        <v>192</v>
      </c>
      <c r="E24" s="420">
        <v>191</v>
      </c>
      <c r="F24" s="421"/>
      <c r="G24" s="421"/>
      <c r="H24" s="421"/>
      <c r="I24" s="421"/>
      <c r="J24" s="421"/>
      <c r="K24" s="421"/>
      <c r="L24" s="421"/>
      <c r="M24" s="421"/>
      <c r="N24" s="421"/>
      <c r="O24" s="421"/>
      <c r="P24" s="421"/>
      <c r="Q24" s="421"/>
      <c r="R24" s="421"/>
    </row>
    <row r="25" spans="1:18" s="388" customFormat="1" ht="15.75" x14ac:dyDescent="0.2">
      <c r="A25" s="383">
        <v>44475</v>
      </c>
      <c r="B25" s="389">
        <f>SUM(C25:E25)</f>
        <v>861</v>
      </c>
      <c r="C25" s="391">
        <v>499</v>
      </c>
      <c r="D25" s="420">
        <v>175</v>
      </c>
      <c r="E25" s="420">
        <v>187</v>
      </c>
      <c r="F25" s="421"/>
      <c r="G25" s="421"/>
      <c r="H25" s="421"/>
      <c r="I25" s="421"/>
      <c r="J25" s="421"/>
      <c r="K25" s="421"/>
      <c r="L25" s="421"/>
      <c r="M25" s="421"/>
      <c r="N25" s="421"/>
      <c r="O25" s="421"/>
      <c r="P25" s="421"/>
      <c r="Q25" s="421"/>
      <c r="R25" s="421"/>
    </row>
    <row r="26" spans="1:18" s="388" customFormat="1" ht="15.75" x14ac:dyDescent="0.2">
      <c r="A26" s="383">
        <v>44476</v>
      </c>
      <c r="B26" s="389">
        <f>SUM(C26:E26)</f>
        <v>896</v>
      </c>
      <c r="C26" s="391">
        <v>549</v>
      </c>
      <c r="D26" s="420">
        <v>172</v>
      </c>
      <c r="E26" s="420">
        <v>175</v>
      </c>
      <c r="F26" s="421"/>
      <c r="G26" s="421"/>
      <c r="H26" s="421"/>
      <c r="I26" s="421"/>
      <c r="J26" s="421"/>
      <c r="K26" s="421"/>
      <c r="L26" s="421"/>
      <c r="M26" s="421"/>
      <c r="N26" s="421"/>
      <c r="O26" s="421"/>
      <c r="P26" s="421"/>
      <c r="Q26" s="421"/>
      <c r="R26" s="421"/>
    </row>
    <row r="27" spans="1:18" s="388" customFormat="1" ht="15.75" x14ac:dyDescent="0.2">
      <c r="A27" s="383">
        <v>44477</v>
      </c>
      <c r="B27" s="389">
        <f>SUM(C27:E27)</f>
        <v>1256</v>
      </c>
      <c r="C27" s="391">
        <v>726</v>
      </c>
      <c r="D27" s="420">
        <v>243</v>
      </c>
      <c r="E27" s="420">
        <v>287</v>
      </c>
      <c r="F27" s="421"/>
      <c r="G27" s="421"/>
      <c r="H27" s="421"/>
      <c r="I27" s="421"/>
      <c r="J27" s="421"/>
      <c r="K27" s="421"/>
      <c r="L27" s="421"/>
      <c r="M27" s="421"/>
      <c r="N27" s="421"/>
      <c r="O27" s="421"/>
      <c r="P27" s="421"/>
      <c r="Q27" s="421"/>
      <c r="R27" s="421"/>
    </row>
    <row r="28" spans="1:18" s="388" customFormat="1" ht="15.75" x14ac:dyDescent="0.2">
      <c r="A28" s="383">
        <v>44478</v>
      </c>
      <c r="B28" s="396"/>
      <c r="C28" s="386"/>
      <c r="D28" s="421"/>
      <c r="E28" s="421"/>
      <c r="F28" s="421"/>
      <c r="G28" s="421"/>
      <c r="H28" s="421"/>
      <c r="I28" s="421"/>
      <c r="J28" s="421"/>
      <c r="K28" s="421"/>
      <c r="L28" s="421"/>
      <c r="M28" s="421"/>
      <c r="N28" s="421"/>
      <c r="O28" s="421"/>
      <c r="P28" s="421"/>
      <c r="Q28" s="421"/>
      <c r="R28" s="421"/>
    </row>
    <row r="29" spans="1:18" s="388" customFormat="1" ht="15.75" x14ac:dyDescent="0.2">
      <c r="A29" s="383">
        <v>44479</v>
      </c>
      <c r="B29" s="394"/>
      <c r="C29" s="386"/>
      <c r="D29" s="421"/>
      <c r="E29" s="421"/>
      <c r="F29" s="421"/>
      <c r="G29" s="421"/>
      <c r="H29" s="421"/>
      <c r="I29" s="421"/>
      <c r="J29" s="421"/>
      <c r="K29" s="421"/>
      <c r="L29" s="421"/>
      <c r="M29" s="421"/>
      <c r="N29" s="421"/>
      <c r="O29" s="421"/>
      <c r="P29" s="421"/>
      <c r="Q29" s="421"/>
      <c r="R29" s="421"/>
    </row>
    <row r="30" spans="1:18" s="388" customFormat="1" ht="15.75" x14ac:dyDescent="0.2">
      <c r="A30" s="383">
        <v>44480</v>
      </c>
      <c r="B30" s="389">
        <f>SUM(C30:E30)</f>
        <v>946</v>
      </c>
      <c r="C30" s="391">
        <v>542</v>
      </c>
      <c r="D30" s="420">
        <v>199</v>
      </c>
      <c r="E30" s="420">
        <v>205</v>
      </c>
      <c r="F30" s="421"/>
      <c r="G30" s="421"/>
      <c r="H30" s="421"/>
      <c r="I30" s="421"/>
      <c r="J30" s="421"/>
      <c r="K30" s="421"/>
      <c r="L30" s="421"/>
      <c r="M30" s="421"/>
      <c r="N30" s="421"/>
      <c r="O30" s="421"/>
      <c r="P30" s="421"/>
      <c r="Q30" s="421"/>
      <c r="R30" s="421"/>
    </row>
    <row r="31" spans="1:18" s="388" customFormat="1" ht="15.75" x14ac:dyDescent="0.2">
      <c r="A31" s="383">
        <v>44481</v>
      </c>
      <c r="B31" s="389">
        <f>SUM(C31:E31)</f>
        <v>1402</v>
      </c>
      <c r="C31" s="391">
        <v>809</v>
      </c>
      <c r="D31" s="420">
        <v>325</v>
      </c>
      <c r="E31" s="420">
        <v>268</v>
      </c>
      <c r="F31" s="421"/>
      <c r="G31" s="421"/>
      <c r="H31" s="421"/>
      <c r="I31" s="421"/>
      <c r="J31" s="421"/>
      <c r="K31" s="421"/>
      <c r="L31" s="421"/>
      <c r="M31" s="421"/>
      <c r="N31" s="421"/>
      <c r="O31" s="421"/>
      <c r="P31" s="421"/>
      <c r="Q31" s="421"/>
      <c r="R31" s="421"/>
    </row>
    <row r="32" spans="1:18" s="388" customFormat="1" ht="15.75" x14ac:dyDescent="0.2">
      <c r="A32" s="383">
        <v>44482</v>
      </c>
      <c r="B32" s="389">
        <f>SUM(C32:E32)</f>
        <v>1260</v>
      </c>
      <c r="C32" s="391">
        <v>684</v>
      </c>
      <c r="D32" s="420">
        <v>284</v>
      </c>
      <c r="E32" s="420">
        <v>292</v>
      </c>
      <c r="F32" s="421"/>
      <c r="G32" s="421"/>
      <c r="H32" s="421"/>
      <c r="I32" s="421"/>
      <c r="J32" s="421"/>
      <c r="K32" s="421"/>
      <c r="L32" s="421"/>
      <c r="M32" s="421"/>
      <c r="N32" s="421"/>
      <c r="O32" s="421"/>
      <c r="P32" s="421"/>
      <c r="Q32" s="421"/>
      <c r="R32" s="421"/>
    </row>
    <row r="33" spans="1:18" s="388" customFormat="1" ht="15.75" x14ac:dyDescent="0.2">
      <c r="A33" s="383">
        <v>44483</v>
      </c>
      <c r="B33" s="389">
        <f>SUM(C33:E33)</f>
        <v>1261</v>
      </c>
      <c r="C33" s="391">
        <v>685</v>
      </c>
      <c r="D33" s="420">
        <v>303</v>
      </c>
      <c r="E33" s="420">
        <v>273</v>
      </c>
      <c r="F33" s="421"/>
      <c r="G33" s="421"/>
      <c r="H33" s="421"/>
      <c r="I33" s="421"/>
      <c r="J33" s="421"/>
      <c r="K33" s="421"/>
      <c r="L33" s="421"/>
      <c r="M33" s="421"/>
      <c r="N33" s="421"/>
      <c r="O33" s="421"/>
      <c r="P33" s="421"/>
      <c r="Q33" s="421"/>
      <c r="R33" s="421"/>
    </row>
    <row r="34" spans="1:18" s="388" customFormat="1" ht="15.75" x14ac:dyDescent="0.2">
      <c r="A34" s="383">
        <v>44484</v>
      </c>
      <c r="B34" s="389">
        <f>SUM(C34:E34)</f>
        <v>1699</v>
      </c>
      <c r="C34" s="391">
        <v>924</v>
      </c>
      <c r="D34" s="420">
        <v>356</v>
      </c>
      <c r="E34" s="420">
        <v>419</v>
      </c>
      <c r="F34" s="421"/>
      <c r="G34" s="421"/>
      <c r="H34" s="421"/>
      <c r="I34" s="421"/>
      <c r="J34" s="421"/>
      <c r="K34" s="421"/>
      <c r="L34" s="421"/>
      <c r="M34" s="421"/>
      <c r="N34" s="421"/>
      <c r="O34" s="421"/>
      <c r="P34" s="421"/>
      <c r="Q34" s="421"/>
      <c r="R34" s="421"/>
    </row>
    <row r="35" spans="1:18" s="388" customFormat="1" ht="15.75" x14ac:dyDescent="0.2">
      <c r="A35" s="383">
        <v>44485</v>
      </c>
      <c r="B35" s="394"/>
      <c r="C35" s="386"/>
      <c r="D35" s="421"/>
      <c r="E35" s="421"/>
      <c r="F35" s="421"/>
      <c r="G35" s="421"/>
      <c r="H35" s="421"/>
      <c r="I35" s="421"/>
      <c r="J35" s="421"/>
      <c r="K35" s="421"/>
      <c r="L35" s="421"/>
      <c r="M35" s="421"/>
      <c r="N35" s="421"/>
      <c r="O35" s="421"/>
      <c r="P35" s="421"/>
      <c r="Q35" s="421"/>
      <c r="R35" s="421"/>
    </row>
    <row r="36" spans="1:18" s="388" customFormat="1" ht="15.75" x14ac:dyDescent="0.2">
      <c r="A36" s="383">
        <v>44486</v>
      </c>
      <c r="B36" s="394"/>
      <c r="C36" s="386"/>
      <c r="D36" s="421"/>
      <c r="E36" s="421"/>
      <c r="F36" s="421"/>
      <c r="G36" s="421"/>
      <c r="H36" s="421"/>
      <c r="I36" s="421"/>
      <c r="J36" s="421"/>
      <c r="K36" s="421"/>
      <c r="L36" s="421"/>
      <c r="M36" s="421"/>
      <c r="N36" s="421"/>
      <c r="O36" s="421"/>
      <c r="P36" s="421"/>
      <c r="Q36" s="421"/>
      <c r="R36" s="421"/>
    </row>
    <row r="37" spans="1:18" s="388" customFormat="1" ht="15.75" x14ac:dyDescent="0.2">
      <c r="A37" s="383">
        <v>44487</v>
      </c>
      <c r="B37" s="389">
        <f>SUM(C37:E37)</f>
        <v>1775</v>
      </c>
      <c r="C37" s="391">
        <v>857</v>
      </c>
      <c r="D37" s="420">
        <v>402</v>
      </c>
      <c r="E37" s="420">
        <v>516</v>
      </c>
      <c r="F37" s="421"/>
      <c r="G37" s="421"/>
      <c r="H37" s="421"/>
      <c r="I37" s="421"/>
      <c r="J37" s="421"/>
      <c r="K37" s="421"/>
      <c r="L37" s="421"/>
      <c r="M37" s="421"/>
      <c r="N37" s="421"/>
      <c r="O37" s="421"/>
      <c r="P37" s="421"/>
      <c r="Q37" s="421"/>
      <c r="R37" s="421"/>
    </row>
    <row r="38" spans="1:18" s="388" customFormat="1" ht="15.75" x14ac:dyDescent="0.2">
      <c r="A38" s="383">
        <v>44488</v>
      </c>
      <c r="B38" s="389">
        <f>SUM(C38:E38)</f>
        <v>1597</v>
      </c>
      <c r="C38" s="391">
        <v>836</v>
      </c>
      <c r="D38" s="420">
        <v>351</v>
      </c>
      <c r="E38" s="420">
        <v>410</v>
      </c>
      <c r="F38" s="421"/>
      <c r="G38" s="421"/>
      <c r="H38" s="421"/>
      <c r="I38" s="421"/>
      <c r="J38" s="421"/>
      <c r="K38" s="421"/>
      <c r="L38" s="421"/>
      <c r="M38" s="421"/>
      <c r="N38" s="421"/>
      <c r="O38" s="421"/>
      <c r="P38" s="421"/>
      <c r="Q38" s="421"/>
      <c r="R38" s="421"/>
    </row>
    <row r="39" spans="1:18" s="388" customFormat="1" ht="15.75" x14ac:dyDescent="0.2">
      <c r="A39" s="383">
        <v>44489</v>
      </c>
      <c r="B39" s="389">
        <f>SUM(C39:E39)</f>
        <v>1542</v>
      </c>
      <c r="C39" s="391">
        <v>773</v>
      </c>
      <c r="D39" s="420">
        <v>387</v>
      </c>
      <c r="E39" s="420">
        <v>382</v>
      </c>
      <c r="F39" s="421"/>
      <c r="G39" s="421"/>
      <c r="H39" s="421"/>
      <c r="I39" s="421"/>
      <c r="J39" s="421"/>
      <c r="K39" s="421"/>
      <c r="L39" s="421"/>
      <c r="M39" s="421"/>
      <c r="N39" s="421"/>
      <c r="O39" s="421"/>
      <c r="P39" s="421"/>
      <c r="Q39" s="421"/>
      <c r="R39" s="421"/>
    </row>
    <row r="40" spans="1:18" s="388" customFormat="1" ht="15.75" x14ac:dyDescent="0.2">
      <c r="A40" s="383">
        <v>44490</v>
      </c>
      <c r="B40" s="389">
        <f t="shared" ref="B40:B49" si="1">SUM(C40:R40)</f>
        <v>6476</v>
      </c>
      <c r="C40" s="391">
        <v>795</v>
      </c>
      <c r="D40" s="420">
        <v>322</v>
      </c>
      <c r="E40" s="420">
        <v>343</v>
      </c>
      <c r="F40" s="422">
        <v>423</v>
      </c>
      <c r="G40" s="422">
        <v>308</v>
      </c>
      <c r="H40" s="422">
        <v>453</v>
      </c>
      <c r="I40" s="422">
        <v>59</v>
      </c>
      <c r="J40" s="422">
        <v>249</v>
      </c>
      <c r="K40" s="422">
        <v>268</v>
      </c>
      <c r="L40" s="422">
        <v>589</v>
      </c>
      <c r="M40" s="422">
        <v>703</v>
      </c>
      <c r="N40" s="422">
        <v>423</v>
      </c>
      <c r="O40" s="422">
        <v>313</v>
      </c>
      <c r="P40" s="422">
        <v>285</v>
      </c>
      <c r="Q40" s="422">
        <v>408</v>
      </c>
      <c r="R40" s="422">
        <v>535</v>
      </c>
    </row>
    <row r="41" spans="1:18" s="388" customFormat="1" ht="15.75" x14ac:dyDescent="0.2">
      <c r="A41" s="383">
        <v>44491</v>
      </c>
      <c r="B41" s="389">
        <f t="shared" si="1"/>
        <v>7378</v>
      </c>
      <c r="C41" s="391">
        <v>995</v>
      </c>
      <c r="D41" s="420">
        <v>478</v>
      </c>
      <c r="E41" s="420">
        <v>416</v>
      </c>
      <c r="F41" s="422">
        <v>479</v>
      </c>
      <c r="G41" s="420">
        <v>318</v>
      </c>
      <c r="H41" s="420">
        <v>505</v>
      </c>
      <c r="I41" s="420">
        <v>68</v>
      </c>
      <c r="J41" s="420">
        <v>266</v>
      </c>
      <c r="K41" s="420">
        <v>325</v>
      </c>
      <c r="L41" s="420">
        <v>595</v>
      </c>
      <c r="M41" s="420">
        <v>687</v>
      </c>
      <c r="N41" s="420">
        <v>475</v>
      </c>
      <c r="O41" s="420">
        <v>357</v>
      </c>
      <c r="P41" s="420">
        <v>329</v>
      </c>
      <c r="Q41" s="420">
        <v>442</v>
      </c>
      <c r="R41" s="420">
        <v>643</v>
      </c>
    </row>
    <row r="42" spans="1:18" s="388" customFormat="1" ht="15.75" x14ac:dyDescent="0.2">
      <c r="A42" s="383">
        <v>44492</v>
      </c>
      <c r="B42" s="389">
        <f t="shared" si="1"/>
        <v>9004</v>
      </c>
      <c r="C42" s="391">
        <v>1015</v>
      </c>
      <c r="D42" s="388">
        <v>599</v>
      </c>
      <c r="E42" s="420">
        <v>615</v>
      </c>
      <c r="F42" s="420">
        <v>556</v>
      </c>
      <c r="G42" s="420">
        <v>403</v>
      </c>
      <c r="H42" s="420">
        <v>655</v>
      </c>
      <c r="I42" s="388">
        <v>87</v>
      </c>
      <c r="J42" s="420">
        <v>401</v>
      </c>
      <c r="K42" s="420">
        <v>428</v>
      </c>
      <c r="L42" s="420">
        <v>698</v>
      </c>
      <c r="M42" s="420">
        <v>890</v>
      </c>
      <c r="N42" s="420">
        <v>550</v>
      </c>
      <c r="O42" s="420">
        <v>351</v>
      </c>
      <c r="P42" s="420">
        <v>349</v>
      </c>
      <c r="Q42" s="420">
        <v>566</v>
      </c>
      <c r="R42" s="420">
        <v>841</v>
      </c>
    </row>
    <row r="43" spans="1:18" s="388" customFormat="1" ht="15.75" x14ac:dyDescent="0.2">
      <c r="A43" s="383">
        <v>44493</v>
      </c>
      <c r="B43" s="389">
        <f t="shared" si="1"/>
        <v>4656</v>
      </c>
      <c r="C43" s="423">
        <v>496</v>
      </c>
      <c r="D43" s="388">
        <v>237</v>
      </c>
      <c r="E43" s="422">
        <v>331</v>
      </c>
      <c r="F43" s="422">
        <v>274</v>
      </c>
      <c r="G43" s="422">
        <v>250</v>
      </c>
      <c r="H43" s="422">
        <v>340</v>
      </c>
      <c r="I43" s="422">
        <v>49</v>
      </c>
      <c r="J43" s="422">
        <v>205</v>
      </c>
      <c r="K43" s="422">
        <v>267</v>
      </c>
      <c r="L43" s="422">
        <v>289</v>
      </c>
      <c r="M43" s="422">
        <v>501</v>
      </c>
      <c r="N43" s="422">
        <v>296</v>
      </c>
      <c r="O43" s="422">
        <v>175</v>
      </c>
      <c r="P43" s="422">
        <v>192</v>
      </c>
      <c r="Q43" s="422">
        <v>313</v>
      </c>
      <c r="R43" s="422">
        <v>441</v>
      </c>
    </row>
    <row r="44" spans="1:18" s="388" customFormat="1" ht="15.75" x14ac:dyDescent="0.2">
      <c r="A44" s="383">
        <v>44494</v>
      </c>
      <c r="B44" s="408">
        <f t="shared" si="1"/>
        <v>7128</v>
      </c>
      <c r="C44" s="423">
        <v>945</v>
      </c>
      <c r="D44" s="422">
        <v>468</v>
      </c>
      <c r="E44" s="422">
        <v>432</v>
      </c>
      <c r="F44" s="422">
        <v>462</v>
      </c>
      <c r="G44" s="422">
        <v>352</v>
      </c>
      <c r="H44" s="422">
        <v>474</v>
      </c>
      <c r="I44" s="422">
        <v>97</v>
      </c>
      <c r="J44" s="422">
        <v>247</v>
      </c>
      <c r="K44" s="422">
        <v>350</v>
      </c>
      <c r="L44" s="422">
        <v>576</v>
      </c>
      <c r="M44" s="422">
        <v>695</v>
      </c>
      <c r="N44" s="422">
        <v>421</v>
      </c>
      <c r="O44" s="422">
        <v>280</v>
      </c>
      <c r="P44" s="422">
        <v>250</v>
      </c>
      <c r="Q44" s="422">
        <v>393</v>
      </c>
      <c r="R44" s="422">
        <v>686</v>
      </c>
    </row>
    <row r="45" spans="1:18" s="388" customFormat="1" ht="15.75" x14ac:dyDescent="0.2">
      <c r="A45" s="383">
        <v>44495</v>
      </c>
      <c r="B45" s="408">
        <f t="shared" si="1"/>
        <v>7573</v>
      </c>
      <c r="C45" s="423">
        <v>925</v>
      </c>
      <c r="D45" s="422">
        <v>563</v>
      </c>
      <c r="E45" s="422">
        <v>481</v>
      </c>
      <c r="F45" s="422">
        <v>472</v>
      </c>
      <c r="G45" s="422">
        <v>356</v>
      </c>
      <c r="H45" s="422">
        <v>515</v>
      </c>
      <c r="I45" s="422">
        <v>74</v>
      </c>
      <c r="J45" s="422">
        <v>261</v>
      </c>
      <c r="K45" s="422">
        <v>364</v>
      </c>
      <c r="L45" s="422">
        <v>559</v>
      </c>
      <c r="M45" s="422">
        <v>766</v>
      </c>
      <c r="N45" s="422">
        <v>486</v>
      </c>
      <c r="O45" s="422">
        <v>289</v>
      </c>
      <c r="P45" s="422">
        <v>320</v>
      </c>
      <c r="Q45" s="422">
        <v>431</v>
      </c>
      <c r="R45" s="422">
        <v>711</v>
      </c>
    </row>
    <row r="46" spans="1:18" s="388" customFormat="1" ht="15.75" x14ac:dyDescent="0.2">
      <c r="A46" s="383">
        <v>44496</v>
      </c>
      <c r="B46" s="408">
        <f t="shared" si="1"/>
        <v>8014</v>
      </c>
      <c r="C46" s="391">
        <v>1012</v>
      </c>
      <c r="D46" s="420">
        <v>558</v>
      </c>
      <c r="E46" s="388">
        <v>539</v>
      </c>
      <c r="F46" s="420">
        <v>499</v>
      </c>
      <c r="G46" s="420">
        <v>382</v>
      </c>
      <c r="H46" s="420">
        <v>531</v>
      </c>
      <c r="I46" s="420">
        <v>97</v>
      </c>
      <c r="J46" s="420">
        <v>293</v>
      </c>
      <c r="K46" s="420">
        <v>353</v>
      </c>
      <c r="L46" s="420">
        <v>602</v>
      </c>
      <c r="M46" s="420">
        <v>739</v>
      </c>
      <c r="N46" s="420">
        <v>504</v>
      </c>
      <c r="O46" s="420">
        <v>352</v>
      </c>
      <c r="P46" s="420">
        <v>316</v>
      </c>
      <c r="Q46" s="420">
        <v>500</v>
      </c>
      <c r="R46" s="420">
        <v>737</v>
      </c>
    </row>
    <row r="47" spans="1:18" s="388" customFormat="1" ht="15.75" x14ac:dyDescent="0.2">
      <c r="A47" s="383">
        <v>44497</v>
      </c>
      <c r="B47" s="389">
        <f t="shared" si="1"/>
        <v>8755</v>
      </c>
      <c r="C47" s="391">
        <v>1045</v>
      </c>
      <c r="D47" s="420">
        <v>640</v>
      </c>
      <c r="E47" s="420">
        <v>581</v>
      </c>
      <c r="F47" s="420">
        <v>619</v>
      </c>
      <c r="G47" s="388">
        <v>445</v>
      </c>
      <c r="H47" s="420">
        <v>582</v>
      </c>
      <c r="I47" s="420">
        <v>136</v>
      </c>
      <c r="J47" s="420">
        <v>277</v>
      </c>
      <c r="K47" s="420">
        <v>442</v>
      </c>
      <c r="L47" s="420">
        <v>605</v>
      </c>
      <c r="M47" s="420">
        <v>783</v>
      </c>
      <c r="N47" s="420">
        <v>611</v>
      </c>
      <c r="O47" s="420">
        <v>352</v>
      </c>
      <c r="P47" s="420">
        <v>305</v>
      </c>
      <c r="Q47" s="420">
        <v>546</v>
      </c>
      <c r="R47" s="420">
        <v>786</v>
      </c>
    </row>
    <row r="48" spans="1:18" s="388" customFormat="1" ht="15.75" x14ac:dyDescent="0.2">
      <c r="A48" s="383">
        <v>44498</v>
      </c>
      <c r="B48" s="389">
        <f t="shared" si="1"/>
        <v>9715</v>
      </c>
      <c r="C48" s="391">
        <v>1236</v>
      </c>
      <c r="D48" s="420">
        <v>707</v>
      </c>
      <c r="E48" s="420">
        <v>670</v>
      </c>
      <c r="F48" s="420">
        <v>660</v>
      </c>
      <c r="G48" s="420">
        <v>535</v>
      </c>
      <c r="H48" s="388">
        <v>542</v>
      </c>
      <c r="I48" s="420">
        <v>175</v>
      </c>
      <c r="J48" s="420">
        <v>313</v>
      </c>
      <c r="K48" s="420">
        <v>512</v>
      </c>
      <c r="L48" s="420">
        <v>694</v>
      </c>
      <c r="M48" s="420">
        <v>840</v>
      </c>
      <c r="N48" s="420">
        <v>621</v>
      </c>
      <c r="O48" s="420">
        <v>426</v>
      </c>
      <c r="P48" s="388">
        <v>410</v>
      </c>
      <c r="Q48" s="420">
        <v>589</v>
      </c>
      <c r="R48" s="420">
        <v>785</v>
      </c>
    </row>
    <row r="49" spans="1:18" s="388" customFormat="1" ht="15.75" x14ac:dyDescent="0.2">
      <c r="A49" s="383">
        <v>44499</v>
      </c>
      <c r="B49" s="389">
        <f t="shared" si="1"/>
        <v>14414</v>
      </c>
      <c r="C49" s="391">
        <v>1269</v>
      </c>
      <c r="D49" s="420">
        <v>1017</v>
      </c>
      <c r="E49" s="420">
        <v>1021</v>
      </c>
      <c r="F49" s="420">
        <v>820</v>
      </c>
      <c r="G49" s="420">
        <v>824</v>
      </c>
      <c r="H49" s="420">
        <v>651</v>
      </c>
      <c r="I49" s="420">
        <v>424</v>
      </c>
      <c r="J49" s="420">
        <v>636</v>
      </c>
      <c r="K49" s="420">
        <v>852</v>
      </c>
      <c r="L49" s="420">
        <v>930</v>
      </c>
      <c r="M49" s="420">
        <v>1256</v>
      </c>
      <c r="N49" s="420">
        <v>1093</v>
      </c>
      <c r="O49" s="420">
        <v>777</v>
      </c>
      <c r="P49" s="420">
        <v>802</v>
      </c>
      <c r="Q49" s="420">
        <v>987</v>
      </c>
      <c r="R49" s="420">
        <v>1055</v>
      </c>
    </row>
    <row r="50" spans="1:18" s="388" customFormat="1" ht="16.5" thickBot="1" x14ac:dyDescent="0.25">
      <c r="A50" s="397">
        <v>44500</v>
      </c>
      <c r="B50" s="437"/>
      <c r="C50" s="438"/>
      <c r="D50" s="439"/>
      <c r="E50" s="439"/>
      <c r="F50" s="439"/>
      <c r="G50" s="439"/>
      <c r="H50" s="439"/>
      <c r="I50" s="439"/>
      <c r="J50" s="439"/>
      <c r="K50" s="439"/>
      <c r="L50" s="439"/>
      <c r="M50" s="439"/>
      <c r="N50" s="439"/>
      <c r="O50" s="439"/>
      <c r="P50" s="439"/>
      <c r="Q50" s="439"/>
      <c r="R50" s="439"/>
    </row>
    <row r="52" spans="1:18" x14ac:dyDescent="0.2">
      <c r="B52" s="400">
        <f>SUM(B5:D5)</f>
        <v>145733</v>
      </c>
      <c r="C52" s="399"/>
      <c r="D52" s="399"/>
      <c r="G52" s="388"/>
      <c r="I52" s="388"/>
    </row>
    <row r="53" spans="1:18" x14ac:dyDescent="0.2">
      <c r="C53" s="400">
        <f>SUM(B5:C5)</f>
        <v>134396</v>
      </c>
      <c r="G53" s="388"/>
      <c r="I53" s="388"/>
    </row>
    <row r="54" spans="1:18" x14ac:dyDescent="0.2">
      <c r="G54" s="388"/>
      <c r="I54" s="388"/>
    </row>
    <row r="55" spans="1:18" x14ac:dyDescent="0.2">
      <c r="G55" s="388"/>
      <c r="I55" s="388"/>
    </row>
    <row r="56" spans="1:18" x14ac:dyDescent="0.2">
      <c r="G56" s="388"/>
      <c r="I56" s="388"/>
    </row>
    <row r="57" spans="1:18" x14ac:dyDescent="0.2">
      <c r="G57" s="388"/>
      <c r="I57" s="388"/>
    </row>
    <row r="58" spans="1:18" x14ac:dyDescent="0.2">
      <c r="G58" s="388"/>
      <c r="I58" s="388"/>
    </row>
    <row r="59" spans="1:18" x14ac:dyDescent="0.2">
      <c r="G59" s="388"/>
      <c r="I59" s="388"/>
    </row>
  </sheetData>
  <sheetProtection algorithmName="SHA-512" hashValue="9MJcAlnoELk0aOK1Hx18b38UZoYSnL0lxUvpbaMoVHy1ZpwcU3Y7mSLIovJ/SKpVQ/MFleALFegvMcxbN5zBiA==" saltValue="Vqqw5L1e+oPDfkGLg9bQqA==" spinCount="100000" sheet="1" objects="1" scenarios="1"/>
  <autoFilter ref="G1:G121" xr:uid="{139D6DD1-0869-4C1D-835B-7633A46B1AA5}">
    <sortState xmlns:xlrd2="http://schemas.microsoft.com/office/spreadsheetml/2017/richdata2" ref="G2:G121">
      <sortCondition ref="G1:G121"/>
    </sortState>
  </autoFilter>
  <mergeCells count="2">
    <mergeCell ref="A2:E2"/>
    <mergeCell ref="A1:E1"/>
  </mergeCells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AC44E-C4AE-4339-BDCE-FE6FEC3219B1}">
  <dimension ref="A1:D9"/>
  <sheetViews>
    <sheetView workbookViewId="0">
      <selection sqref="A1:D9"/>
    </sheetView>
  </sheetViews>
  <sheetFormatPr defaultRowHeight="14.25" x14ac:dyDescent="0.2"/>
  <cols>
    <col min="1" max="1" width="8.125" style="1" customWidth="1"/>
  </cols>
  <sheetData>
    <row r="1" spans="1:4" ht="36" customHeight="1" x14ac:dyDescent="0.2">
      <c r="A1" s="583" t="s">
        <v>130</v>
      </c>
      <c r="B1" s="583"/>
      <c r="C1" s="583"/>
      <c r="D1" s="583"/>
    </row>
    <row r="2" spans="1:4" ht="18.75" customHeight="1" x14ac:dyDescent="0.25">
      <c r="A2" s="525" t="s">
        <v>39</v>
      </c>
      <c r="B2" s="531">
        <v>2017</v>
      </c>
      <c r="C2" s="523">
        <v>2020</v>
      </c>
      <c r="D2" s="531">
        <v>2021</v>
      </c>
    </row>
    <row r="3" spans="1:4" x14ac:dyDescent="0.2">
      <c r="A3" s="526">
        <v>6</v>
      </c>
      <c r="B3" s="256">
        <v>373</v>
      </c>
      <c r="C3" s="532">
        <v>10565</v>
      </c>
      <c r="D3" s="535">
        <v>7128</v>
      </c>
    </row>
    <row r="4" spans="1:4" x14ac:dyDescent="0.2">
      <c r="A4" s="527">
        <v>5</v>
      </c>
      <c r="B4" s="256">
        <v>307</v>
      </c>
      <c r="C4" s="533">
        <v>10945</v>
      </c>
      <c r="D4" s="536">
        <v>7573</v>
      </c>
    </row>
    <row r="5" spans="1:4" x14ac:dyDescent="0.2">
      <c r="A5" s="527">
        <v>4</v>
      </c>
      <c r="B5" s="256">
        <v>392</v>
      </c>
      <c r="C5" s="533">
        <v>11172</v>
      </c>
      <c r="D5" s="536">
        <v>8014</v>
      </c>
    </row>
    <row r="6" spans="1:4" x14ac:dyDescent="0.2">
      <c r="A6" s="527">
        <v>3</v>
      </c>
      <c r="B6" s="256">
        <v>401</v>
      </c>
      <c r="C6" s="533">
        <v>13751</v>
      </c>
      <c r="D6" s="536">
        <v>8755</v>
      </c>
    </row>
    <row r="7" spans="1:4" x14ac:dyDescent="0.2">
      <c r="A7" s="527">
        <v>2</v>
      </c>
      <c r="B7" s="256">
        <v>504</v>
      </c>
      <c r="C7" s="533">
        <v>14165</v>
      </c>
      <c r="D7" s="536">
        <v>9715</v>
      </c>
    </row>
    <row r="8" spans="1:4" x14ac:dyDescent="0.2">
      <c r="A8" s="528">
        <v>1</v>
      </c>
      <c r="B8" s="530">
        <v>1557</v>
      </c>
      <c r="C8" s="534">
        <v>13879</v>
      </c>
      <c r="D8" s="537">
        <v>14414</v>
      </c>
    </row>
    <row r="9" spans="1:4" x14ac:dyDescent="0.2">
      <c r="A9" s="529" t="s">
        <v>1</v>
      </c>
      <c r="B9" s="334">
        <f>SUM(B2:B8)</f>
        <v>5551</v>
      </c>
      <c r="C9" s="524">
        <f>SUM(C3:C8)</f>
        <v>74477</v>
      </c>
      <c r="D9" s="334">
        <f>SUM(D3:D8)</f>
        <v>55599</v>
      </c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7A5B9-FB97-4CAC-97BA-A9C16540A318}">
  <dimension ref="A1:F49"/>
  <sheetViews>
    <sheetView showGridLines="0" zoomScale="85" zoomScaleNormal="85" workbookViewId="0">
      <pane ySplit="5" topLeftCell="A33" activePane="bottomLeft" state="frozen"/>
      <selection pane="bottomLeft" activeCell="H33" sqref="H33"/>
    </sheetView>
  </sheetViews>
  <sheetFormatPr defaultColWidth="9" defaultRowHeight="14.25" x14ac:dyDescent="0.2"/>
  <cols>
    <col min="1" max="1" width="10.375" style="357" customWidth="1"/>
    <col min="2" max="2" width="11.25" style="357" customWidth="1"/>
    <col min="3" max="3" width="13" style="357" customWidth="1"/>
    <col min="4" max="4" width="13.625" style="357" customWidth="1"/>
    <col min="5" max="16384" width="9" style="357"/>
  </cols>
  <sheetData>
    <row r="1" spans="1:6" ht="55.5" customHeight="1" x14ac:dyDescent="0.25">
      <c r="A1" s="581" t="s">
        <v>102</v>
      </c>
      <c r="B1" s="581"/>
      <c r="C1" s="581"/>
      <c r="D1" s="581"/>
    </row>
    <row r="2" spans="1:6" ht="24" customHeight="1" x14ac:dyDescent="0.25">
      <c r="A2" s="582" t="s">
        <v>95</v>
      </c>
      <c r="B2" s="582"/>
      <c r="C2" s="582"/>
      <c r="D2" s="582"/>
      <c r="E2" s="433"/>
      <c r="F2" s="402"/>
    </row>
    <row r="4" spans="1:6" ht="30.75" thickBot="1" x14ac:dyDescent="0.3">
      <c r="A4" s="410" t="s">
        <v>5</v>
      </c>
      <c r="B4" s="411" t="s">
        <v>1</v>
      </c>
      <c r="C4" s="424" t="s">
        <v>101</v>
      </c>
      <c r="D4" s="425" t="s">
        <v>123</v>
      </c>
    </row>
    <row r="5" spans="1:6" ht="21" customHeight="1" thickBot="1" x14ac:dyDescent="0.25">
      <c r="A5" s="453" t="s">
        <v>1</v>
      </c>
      <c r="B5" s="436">
        <f>SUM(B6:B49)</f>
        <v>1700</v>
      </c>
      <c r="C5" s="460">
        <f>SUM(C6:C49)</f>
        <v>635</v>
      </c>
      <c r="D5" s="461">
        <f>SUM(D6:D49)</f>
        <v>1065</v>
      </c>
    </row>
    <row r="6" spans="1:6" ht="15.75" x14ac:dyDescent="0.2">
      <c r="A6" s="434">
        <v>44456</v>
      </c>
      <c r="B6" s="435">
        <f>SUM(C6:S6)</f>
        <v>38</v>
      </c>
      <c r="C6" s="426">
        <v>0</v>
      </c>
      <c r="D6" s="427">
        <v>38</v>
      </c>
    </row>
    <row r="7" spans="1:6" ht="15.75" x14ac:dyDescent="0.2">
      <c r="A7" s="383">
        <v>44457</v>
      </c>
      <c r="B7" s="419">
        <f>SUM(C7:S7)</f>
        <v>23</v>
      </c>
      <c r="C7" s="428">
        <v>0</v>
      </c>
      <c r="D7" s="429">
        <v>23</v>
      </c>
    </row>
    <row r="8" spans="1:6" ht="15.75" x14ac:dyDescent="0.2">
      <c r="A8" s="383">
        <v>44458</v>
      </c>
      <c r="B8" s="394"/>
      <c r="C8" s="430"/>
      <c r="D8" s="431"/>
    </row>
    <row r="9" spans="1:6" ht="15.75" x14ac:dyDescent="0.2">
      <c r="A9" s="383">
        <v>44459</v>
      </c>
      <c r="B9" s="389">
        <f>SUM(C9:D9)</f>
        <v>28</v>
      </c>
      <c r="C9" s="428">
        <v>2</v>
      </c>
      <c r="D9" s="429">
        <v>26</v>
      </c>
      <c r="E9" s="366"/>
      <c r="F9" s="366"/>
    </row>
    <row r="10" spans="1:6" ht="15.75" x14ac:dyDescent="0.2">
      <c r="A10" s="383">
        <v>44460</v>
      </c>
      <c r="B10" s="389">
        <f>SUM(C10:D10)</f>
        <v>11</v>
      </c>
      <c r="C10" s="428">
        <v>6</v>
      </c>
      <c r="D10" s="429">
        <v>5</v>
      </c>
      <c r="E10" s="366"/>
      <c r="F10" s="366"/>
    </row>
    <row r="11" spans="1:6" ht="15.75" x14ac:dyDescent="0.2">
      <c r="A11" s="383">
        <v>44461</v>
      </c>
      <c r="B11" s="389">
        <f>SUM(C11:D11)</f>
        <v>5</v>
      </c>
      <c r="C11" s="428">
        <v>2</v>
      </c>
      <c r="D11" s="429">
        <v>3</v>
      </c>
    </row>
    <row r="12" spans="1:6" ht="15.75" x14ac:dyDescent="0.2">
      <c r="A12" s="383">
        <v>44462</v>
      </c>
      <c r="B12" s="389">
        <f>SUM(C12:D12)</f>
        <v>5</v>
      </c>
      <c r="C12" s="428">
        <v>1</v>
      </c>
      <c r="D12" s="429">
        <v>4</v>
      </c>
    </row>
    <row r="13" spans="1:6" ht="15.75" x14ac:dyDescent="0.2">
      <c r="A13" s="383">
        <v>44463</v>
      </c>
      <c r="B13" s="389">
        <f>SUM(C13:D13)</f>
        <v>14</v>
      </c>
      <c r="C13" s="428">
        <v>9</v>
      </c>
      <c r="D13" s="429">
        <v>5</v>
      </c>
    </row>
    <row r="14" spans="1:6" ht="15.75" x14ac:dyDescent="0.2">
      <c r="A14" s="383">
        <v>44464</v>
      </c>
      <c r="B14" s="396"/>
      <c r="C14" s="430"/>
      <c r="D14" s="431"/>
    </row>
    <row r="15" spans="1:6" ht="15.75" x14ac:dyDescent="0.2">
      <c r="A15" s="383">
        <v>44465</v>
      </c>
      <c r="B15" s="396"/>
      <c r="C15" s="430"/>
      <c r="D15" s="431"/>
    </row>
    <row r="16" spans="1:6" ht="15.75" x14ac:dyDescent="0.2">
      <c r="A16" s="383">
        <v>44466</v>
      </c>
      <c r="B16" s="389">
        <f>SUM(C16:D16)</f>
        <v>17</v>
      </c>
      <c r="C16" s="428">
        <v>8</v>
      </c>
      <c r="D16" s="429">
        <v>9</v>
      </c>
    </row>
    <row r="17" spans="1:4" ht="15.75" x14ac:dyDescent="0.2">
      <c r="A17" s="383">
        <v>44467</v>
      </c>
      <c r="B17" s="389">
        <f>SUM(C17:D17)</f>
        <v>12</v>
      </c>
      <c r="C17" s="428">
        <v>7</v>
      </c>
      <c r="D17" s="429">
        <v>5</v>
      </c>
    </row>
    <row r="18" spans="1:4" ht="15.75" x14ac:dyDescent="0.2">
      <c r="A18" s="383">
        <v>44468</v>
      </c>
      <c r="B18" s="389">
        <f>SUM(C18:D18)</f>
        <v>18</v>
      </c>
      <c r="C18" s="428">
        <v>11</v>
      </c>
      <c r="D18" s="429">
        <v>7</v>
      </c>
    </row>
    <row r="19" spans="1:4" ht="15.75" x14ac:dyDescent="0.2">
      <c r="A19" s="383">
        <v>44469</v>
      </c>
      <c r="B19" s="492">
        <f>SUM(C19:D19)</f>
        <v>9</v>
      </c>
      <c r="C19" s="428">
        <v>3</v>
      </c>
      <c r="D19" s="429">
        <v>6</v>
      </c>
    </row>
    <row r="20" spans="1:4" ht="15.75" x14ac:dyDescent="0.2">
      <c r="A20" s="383">
        <v>44470</v>
      </c>
      <c r="B20" s="492">
        <f>SUM(C20:D20)</f>
        <v>13</v>
      </c>
      <c r="C20" s="428">
        <v>6</v>
      </c>
      <c r="D20" s="429">
        <v>7</v>
      </c>
    </row>
    <row r="21" spans="1:4" ht="15.75" x14ac:dyDescent="0.2">
      <c r="A21" s="383">
        <v>44471</v>
      </c>
      <c r="B21" s="396"/>
      <c r="C21" s="430"/>
      <c r="D21" s="431"/>
    </row>
    <row r="22" spans="1:4" ht="15.75" x14ac:dyDescent="0.2">
      <c r="A22" s="383">
        <v>44472</v>
      </c>
      <c r="B22" s="394"/>
      <c r="C22" s="430"/>
      <c r="D22" s="431"/>
    </row>
    <row r="23" spans="1:4" ht="15.75" x14ac:dyDescent="0.2">
      <c r="A23" s="383">
        <v>44473</v>
      </c>
      <c r="B23" s="389">
        <f>SUM(C23:D23)</f>
        <v>14</v>
      </c>
      <c r="C23" s="428">
        <v>6</v>
      </c>
      <c r="D23" s="429">
        <v>8</v>
      </c>
    </row>
    <row r="24" spans="1:4" ht="15.75" x14ac:dyDescent="0.2">
      <c r="A24" s="383">
        <v>44474</v>
      </c>
      <c r="B24" s="389">
        <f>SUM(C24:D24)</f>
        <v>11</v>
      </c>
      <c r="C24" s="428">
        <v>6</v>
      </c>
      <c r="D24" s="429">
        <v>5</v>
      </c>
    </row>
    <row r="25" spans="1:4" ht="15.75" x14ac:dyDescent="0.2">
      <c r="A25" s="383">
        <v>44475</v>
      </c>
      <c r="B25" s="389">
        <f>SUM(C25:D25)</f>
        <v>9</v>
      </c>
      <c r="C25" s="428">
        <v>7</v>
      </c>
      <c r="D25" s="429">
        <v>2</v>
      </c>
    </row>
    <row r="26" spans="1:4" ht="15.75" x14ac:dyDescent="0.2">
      <c r="A26" s="383">
        <v>44476</v>
      </c>
      <c r="B26" s="389">
        <v>11</v>
      </c>
      <c r="C26" s="428">
        <v>4</v>
      </c>
      <c r="D26" s="429">
        <v>7</v>
      </c>
    </row>
    <row r="27" spans="1:4" ht="15.75" x14ac:dyDescent="0.2">
      <c r="A27" s="383">
        <v>44477</v>
      </c>
      <c r="B27" s="389">
        <f>SUM(C27:D27)</f>
        <v>16</v>
      </c>
      <c r="C27" s="428">
        <v>7</v>
      </c>
      <c r="D27" s="429">
        <v>9</v>
      </c>
    </row>
    <row r="28" spans="1:4" ht="15.75" x14ac:dyDescent="0.2">
      <c r="A28" s="383">
        <v>44478</v>
      </c>
      <c r="B28" s="396"/>
      <c r="C28" s="430"/>
      <c r="D28" s="431"/>
    </row>
    <row r="29" spans="1:4" ht="15.75" x14ac:dyDescent="0.2">
      <c r="A29" s="383">
        <v>44479</v>
      </c>
      <c r="B29" s="394"/>
      <c r="C29" s="430"/>
      <c r="D29" s="431"/>
    </row>
    <row r="30" spans="1:4" ht="15.75" x14ac:dyDescent="0.2">
      <c r="A30" s="383">
        <v>44480</v>
      </c>
      <c r="B30" s="389">
        <f>SUM(C30:D30)</f>
        <v>16</v>
      </c>
      <c r="C30" s="428">
        <v>7</v>
      </c>
      <c r="D30" s="429">
        <v>9</v>
      </c>
    </row>
    <row r="31" spans="1:4" ht="15.75" x14ac:dyDescent="0.2">
      <c r="A31" s="383">
        <v>44481</v>
      </c>
      <c r="B31" s="389">
        <f>SUM(C31:D31)</f>
        <v>26</v>
      </c>
      <c r="C31" s="428">
        <v>11</v>
      </c>
      <c r="D31" s="429">
        <v>15</v>
      </c>
    </row>
    <row r="32" spans="1:4" ht="15.75" x14ac:dyDescent="0.2">
      <c r="A32" s="383">
        <v>44482</v>
      </c>
      <c r="B32" s="389">
        <f>SUM(C32:D32)</f>
        <v>26</v>
      </c>
      <c r="C32" s="428">
        <v>14</v>
      </c>
      <c r="D32" s="429">
        <v>12</v>
      </c>
    </row>
    <row r="33" spans="1:4" ht="15.75" x14ac:dyDescent="0.2">
      <c r="A33" s="383">
        <v>44483</v>
      </c>
      <c r="B33" s="389">
        <f>SUM(C33:D33)</f>
        <v>26</v>
      </c>
      <c r="C33" s="428">
        <v>9</v>
      </c>
      <c r="D33" s="429">
        <v>17</v>
      </c>
    </row>
    <row r="34" spans="1:4" ht="15.75" x14ac:dyDescent="0.2">
      <c r="A34" s="383">
        <v>44484</v>
      </c>
      <c r="B34" s="389">
        <f>SUM(C34:D34)</f>
        <v>31</v>
      </c>
      <c r="C34" s="428">
        <v>14</v>
      </c>
      <c r="D34" s="429">
        <v>17</v>
      </c>
    </row>
    <row r="35" spans="1:4" ht="15.75" x14ac:dyDescent="0.2">
      <c r="A35" s="383">
        <v>44485</v>
      </c>
      <c r="B35" s="394"/>
      <c r="C35" s="430"/>
      <c r="D35" s="431"/>
    </row>
    <row r="36" spans="1:4" ht="15.75" x14ac:dyDescent="0.2">
      <c r="A36" s="383">
        <v>44486</v>
      </c>
      <c r="B36" s="394"/>
      <c r="C36" s="430"/>
      <c r="D36" s="431"/>
    </row>
    <row r="37" spans="1:4" ht="15.75" x14ac:dyDescent="0.2">
      <c r="A37" s="383">
        <v>44487</v>
      </c>
      <c r="B37" s="389">
        <f t="shared" ref="B37:B49" si="0">SUM(C37:D37)</f>
        <v>29</v>
      </c>
      <c r="C37" s="428">
        <v>13</v>
      </c>
      <c r="D37" s="429">
        <v>16</v>
      </c>
    </row>
    <row r="38" spans="1:4" ht="15.75" x14ac:dyDescent="0.2">
      <c r="A38" s="383">
        <v>44488</v>
      </c>
      <c r="B38" s="389">
        <f t="shared" si="0"/>
        <v>28</v>
      </c>
      <c r="C38" s="428">
        <v>9</v>
      </c>
      <c r="D38" s="429">
        <v>19</v>
      </c>
    </row>
    <row r="39" spans="1:4" ht="15.75" x14ac:dyDescent="0.2">
      <c r="A39" s="383">
        <v>44489</v>
      </c>
      <c r="B39" s="389">
        <f t="shared" si="0"/>
        <v>14</v>
      </c>
      <c r="C39" s="428">
        <v>5</v>
      </c>
      <c r="D39" s="429">
        <v>9</v>
      </c>
    </row>
    <row r="40" spans="1:4" ht="15.75" x14ac:dyDescent="0.2">
      <c r="A40" s="383">
        <v>44490</v>
      </c>
      <c r="B40" s="389">
        <f t="shared" si="0"/>
        <v>101</v>
      </c>
      <c r="C40" s="428">
        <v>37</v>
      </c>
      <c r="D40" s="429">
        <v>64</v>
      </c>
    </row>
    <row r="41" spans="1:4" ht="15.75" x14ac:dyDescent="0.2">
      <c r="A41" s="383">
        <v>44491</v>
      </c>
      <c r="B41" s="389">
        <f t="shared" si="0"/>
        <v>139</v>
      </c>
      <c r="C41" s="428">
        <f>4+4+3+2+1+7+0+4+0+2+9+5+0+2+3+4</f>
        <v>50</v>
      </c>
      <c r="D41" s="429">
        <f>13+10+9+3+5+4+5+0+7+2+13+8+0+4+2+4</f>
        <v>89</v>
      </c>
    </row>
    <row r="42" spans="1:4" ht="15.75" x14ac:dyDescent="0.2">
      <c r="A42" s="383">
        <v>44492</v>
      </c>
      <c r="B42" s="389">
        <f t="shared" si="0"/>
        <v>134</v>
      </c>
      <c r="C42" s="428">
        <f>6+2+3+1+8+1+5+1+3+1+0+7+5+4+6+5</f>
        <v>58</v>
      </c>
      <c r="D42" s="429">
        <f>6+4+1+1+4+0+2+10+5+4+7+7+6+7+8+4</f>
        <v>76</v>
      </c>
    </row>
    <row r="43" spans="1:4" ht="15.75" x14ac:dyDescent="0.2">
      <c r="A43" s="383">
        <v>44493</v>
      </c>
      <c r="B43" s="389">
        <f t="shared" si="0"/>
        <v>74</v>
      </c>
      <c r="C43" s="428">
        <f>6+2+2+2+0+0+0+2+3+0+0+4+0+0+1+3</f>
        <v>25</v>
      </c>
      <c r="D43" s="429">
        <f>5+3+3+5+2+3+3+5+5+0+5+3+1+3+1+2</f>
        <v>49</v>
      </c>
    </row>
    <row r="44" spans="1:4" ht="15.75" x14ac:dyDescent="0.2">
      <c r="A44" s="383">
        <v>44494</v>
      </c>
      <c r="B44" s="389">
        <f t="shared" si="0"/>
        <v>104</v>
      </c>
      <c r="C44" s="508">
        <f>4+2+2+4+1+2+1+2+2+3+2+1+2+0+5+5</f>
        <v>38</v>
      </c>
      <c r="D44" s="429">
        <f>10+6+7+3+1+6+0+0+2+9+9+5+0+1+4+3</f>
        <v>66</v>
      </c>
    </row>
    <row r="45" spans="1:4" ht="15.75" x14ac:dyDescent="0.2">
      <c r="A45" s="383">
        <v>44495</v>
      </c>
      <c r="B45" s="389">
        <f t="shared" si="0"/>
        <v>152</v>
      </c>
      <c r="C45" s="508">
        <f>1+23+4+4+2+0+0+1+3+10+6+0+5+6+5</f>
        <v>70</v>
      </c>
      <c r="D45" s="429">
        <f>11+7+7+2+4+2+2+1+4+6+9+8+2+3+6+8</f>
        <v>82</v>
      </c>
    </row>
    <row r="46" spans="1:4" ht="15.75" x14ac:dyDescent="0.2">
      <c r="A46" s="383">
        <v>44496</v>
      </c>
      <c r="B46" s="389">
        <f t="shared" si="0"/>
        <v>101</v>
      </c>
      <c r="C46" s="428">
        <f>1+1+5+2+5+1+2+2+0+1+0+3+6+9</f>
        <v>38</v>
      </c>
      <c r="D46" s="429">
        <f>5+2+6+2+5+8+9+5+1+4+2+3+0+11</f>
        <v>63</v>
      </c>
    </row>
    <row r="47" spans="1:4" ht="15.75" x14ac:dyDescent="0.2">
      <c r="A47" s="383">
        <v>44497</v>
      </c>
      <c r="B47" s="389">
        <f t="shared" si="0"/>
        <v>129</v>
      </c>
      <c r="C47" s="508">
        <f>4+3+2+1+6+1+0+3+3+6+3+5+1+3+2+2</f>
        <v>45</v>
      </c>
      <c r="D47" s="429">
        <f>15+1+7+5+6+5+0+2+2+8+7+13+1+4+5+3</f>
        <v>84</v>
      </c>
    </row>
    <row r="48" spans="1:4" ht="15.75" x14ac:dyDescent="0.2">
      <c r="A48" s="383">
        <v>44498</v>
      </c>
      <c r="B48" s="389">
        <f t="shared" si="0"/>
        <v>152</v>
      </c>
      <c r="C48" s="428">
        <f>4+3+2+3+1+2+1+5+2+6+4+0+8+5+3+0</f>
        <v>49</v>
      </c>
      <c r="D48" s="429">
        <f>8+13+8+6+1+2+0+4+11+13+5+1+9+6+8+8</f>
        <v>103</v>
      </c>
    </row>
    <row r="49" spans="1:4" ht="15.75" x14ac:dyDescent="0.2">
      <c r="A49" s="383">
        <v>44499</v>
      </c>
      <c r="B49" s="389">
        <f t="shared" si="0"/>
        <v>164</v>
      </c>
      <c r="C49" s="428">
        <f>4+4+6+1+9+1+3+8+6+4+4+4+4</f>
        <v>58</v>
      </c>
      <c r="D49" s="429">
        <f>11+9+9+9+7+7+2+9+10+14+7+6+6</f>
        <v>106</v>
      </c>
    </row>
  </sheetData>
  <sheetProtection algorithmName="SHA-512" hashValue="i9ea2ORr1r2EQAqsPE6f9yQB0yQZMyc5MrjXevw8rA1EJiAZvbZ5KtTojrj0BTbdx+jHfy7wl5s0zT0/vrRh0g==" saltValue="El0Z/qVsnSHTehXejV0aIQ==" spinCount="100000" sheet="1" objects="1" scenarios="1"/>
  <mergeCells count="2">
    <mergeCell ref="A1:D1"/>
    <mergeCell ref="A2:D2"/>
  </mergeCells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BCCA1-E69A-463E-AA26-64A422BEFCAF}">
  <dimension ref="A1:G10"/>
  <sheetViews>
    <sheetView showGridLines="0" workbookViewId="0">
      <selection activeCell="F9" sqref="F9"/>
    </sheetView>
  </sheetViews>
  <sheetFormatPr defaultRowHeight="14.25" x14ac:dyDescent="0.2"/>
  <cols>
    <col min="1" max="1" width="28.5" customWidth="1"/>
    <col min="2" max="2" width="11" style="1" customWidth="1"/>
    <col min="3" max="3" width="10.75" customWidth="1"/>
    <col min="4" max="4" width="12.875" customWidth="1"/>
    <col min="5" max="5" width="14.75" customWidth="1"/>
    <col min="6" max="6" width="10.625" customWidth="1"/>
  </cols>
  <sheetData>
    <row r="1" spans="1:7" ht="39" customHeight="1" x14ac:dyDescent="0.25">
      <c r="A1" s="584" t="s">
        <v>121</v>
      </c>
      <c r="B1" s="585"/>
      <c r="C1" s="585"/>
      <c r="D1" s="585"/>
    </row>
    <row r="2" spans="1:7" ht="39" customHeight="1" x14ac:dyDescent="0.2">
      <c r="A2" s="586" t="s">
        <v>125</v>
      </c>
      <c r="B2" s="587"/>
      <c r="C2" s="587"/>
      <c r="D2" s="587"/>
    </row>
    <row r="3" spans="1:7" ht="57" customHeight="1" thickBot="1" x14ac:dyDescent="0.3">
      <c r="A3" s="498" t="s">
        <v>122</v>
      </c>
      <c r="B3" s="499" t="s">
        <v>126</v>
      </c>
      <c r="C3" s="500" t="s">
        <v>114</v>
      </c>
      <c r="D3" s="499" t="s">
        <v>148</v>
      </c>
      <c r="E3" s="497" t="s">
        <v>124</v>
      </c>
      <c r="F3" s="502" t="s">
        <v>128</v>
      </c>
    </row>
    <row r="4" spans="1:7" ht="49.5" customHeight="1" thickBot="1" x14ac:dyDescent="0.25">
      <c r="A4" s="493" t="s">
        <v>1</v>
      </c>
      <c r="B4" s="494">
        <f>SUM(B5:B10)</f>
        <v>1464</v>
      </c>
      <c r="C4" s="495">
        <f>SUM(C5:C10)</f>
        <v>811</v>
      </c>
      <c r="D4" s="501">
        <f>B4-C4</f>
        <v>653</v>
      </c>
      <c r="E4" s="496">
        <f>B4/Summary!E9</f>
        <v>2.1761426978818284E-2</v>
      </c>
      <c r="F4" s="496">
        <f>C4/B4</f>
        <v>0.55396174863387981</v>
      </c>
      <c r="G4" s="503"/>
    </row>
    <row r="5" spans="1:7" ht="15" x14ac:dyDescent="0.25">
      <c r="A5" s="484" t="s">
        <v>120</v>
      </c>
      <c r="B5" s="489">
        <v>44</v>
      </c>
      <c r="C5" s="623">
        <v>24</v>
      </c>
      <c r="D5" s="626">
        <v>20</v>
      </c>
    </row>
    <row r="6" spans="1:7" ht="15" x14ac:dyDescent="0.25">
      <c r="A6" s="485" t="s">
        <v>116</v>
      </c>
      <c r="B6" s="490">
        <v>839</v>
      </c>
      <c r="C6" s="624">
        <v>484</v>
      </c>
      <c r="D6" s="627">
        <v>355</v>
      </c>
    </row>
    <row r="7" spans="1:7" ht="15" x14ac:dyDescent="0.25">
      <c r="A7" s="485" t="s">
        <v>117</v>
      </c>
      <c r="B7" s="490">
        <v>48</v>
      </c>
      <c r="C7" s="624">
        <v>30</v>
      </c>
      <c r="D7" s="627">
        <v>18</v>
      </c>
    </row>
    <row r="8" spans="1:7" ht="15" x14ac:dyDescent="0.25">
      <c r="A8" s="485" t="s">
        <v>118</v>
      </c>
      <c r="B8" s="490">
        <v>228</v>
      </c>
      <c r="C8" s="624">
        <v>101</v>
      </c>
      <c r="D8" s="627">
        <v>127</v>
      </c>
    </row>
    <row r="9" spans="1:7" ht="15" x14ac:dyDescent="0.25">
      <c r="A9" s="485" t="s">
        <v>119</v>
      </c>
      <c r="B9" s="490">
        <v>127</v>
      </c>
      <c r="C9" s="624">
        <v>67</v>
      </c>
      <c r="D9" s="627">
        <v>60</v>
      </c>
    </row>
    <row r="10" spans="1:7" ht="15" x14ac:dyDescent="0.25">
      <c r="A10" s="486" t="s">
        <v>115</v>
      </c>
      <c r="B10" s="491">
        <v>178</v>
      </c>
      <c r="C10" s="625">
        <v>105</v>
      </c>
      <c r="D10" s="628">
        <v>73</v>
      </c>
    </row>
  </sheetData>
  <sheetProtection algorithmName="SHA-512" hashValue="RDhZyOBP8e4eWC7tpiLR2bf3lAU83u7hFE7xDV+achEEu3N+LoPO63ijTj2Lz2nqQLCxr3uqQA8plpfKX4EA/Q==" saltValue="9z6oz5R1yIEY5P0kf3XrqA==" spinCount="100000" sheet="1" objects="1" scenarios="1"/>
  <mergeCells count="2">
    <mergeCell ref="A1:D1"/>
    <mergeCell ref="A2:D2"/>
  </mergeCells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209F-31C8-4597-BC21-A152E2232985}">
  <dimension ref="A1:H22"/>
  <sheetViews>
    <sheetView workbookViewId="0">
      <selection sqref="A1:F1"/>
    </sheetView>
  </sheetViews>
  <sheetFormatPr defaultRowHeight="14.25" x14ac:dyDescent="0.2"/>
  <cols>
    <col min="4" max="4" width="10.625" customWidth="1"/>
    <col min="5" max="5" width="10.75" customWidth="1"/>
    <col min="7" max="7" width="11.25" customWidth="1"/>
  </cols>
  <sheetData>
    <row r="1" spans="1:7" ht="41.25" customHeight="1" x14ac:dyDescent="0.2">
      <c r="A1" s="588" t="s">
        <v>138</v>
      </c>
      <c r="B1" s="588"/>
      <c r="C1" s="588"/>
      <c r="D1" s="588"/>
      <c r="E1" s="588"/>
      <c r="F1" s="588"/>
      <c r="G1" t="s">
        <v>139</v>
      </c>
    </row>
    <row r="2" spans="1:7" ht="45" x14ac:dyDescent="0.25">
      <c r="B2" s="539" t="s">
        <v>141</v>
      </c>
      <c r="C2" s="539" t="s">
        <v>132</v>
      </c>
      <c r="D2" s="546" t="s">
        <v>142</v>
      </c>
      <c r="E2" s="523" t="s">
        <v>91</v>
      </c>
      <c r="F2" s="543" t="s">
        <v>133</v>
      </c>
      <c r="G2" s="543" t="s">
        <v>140</v>
      </c>
    </row>
    <row r="3" spans="1:7" ht="15" x14ac:dyDescent="0.25">
      <c r="A3" s="355" t="s">
        <v>6</v>
      </c>
      <c r="B3" s="41">
        <f>Mailed!C6</f>
        <v>75522</v>
      </c>
      <c r="C3" s="41">
        <f>'In person instead'!B5</f>
        <v>1700</v>
      </c>
      <c r="D3" s="98">
        <f>B3-C3</f>
        <v>73822</v>
      </c>
      <c r="E3" s="98">
        <f>'Returned mail'!C6+'Returned Drop Box'!C6</f>
        <v>65118</v>
      </c>
      <c r="F3" s="41">
        <f>D3-E3</f>
        <v>8704</v>
      </c>
      <c r="G3" s="273">
        <f>F3/D3</f>
        <v>0.11790523150280405</v>
      </c>
    </row>
    <row r="4" spans="1:7" ht="15" x14ac:dyDescent="0.25">
      <c r="A4" s="540" t="s">
        <v>7</v>
      </c>
      <c r="B4" s="124">
        <f>Mailed!D6+Mailed!E6</f>
        <v>6717</v>
      </c>
      <c r="C4" s="127">
        <v>0</v>
      </c>
      <c r="D4" s="541"/>
      <c r="E4" s="542">
        <f>'Returned mail'!D6+'Returned mail'!E6+'Returned Drop Box'!D6+'Returned Drop Box'!E6</f>
        <v>2157</v>
      </c>
      <c r="F4" s="124">
        <f>B4-E4</f>
        <v>4560</v>
      </c>
      <c r="G4" s="545">
        <f>F4/B4</f>
        <v>0.67887449754354623</v>
      </c>
    </row>
    <row r="5" spans="1:7" ht="15" x14ac:dyDescent="0.25">
      <c r="A5" s="355" t="s">
        <v>144</v>
      </c>
      <c r="B5" s="41">
        <f>SUM(B3:B4)</f>
        <v>82239</v>
      </c>
      <c r="C5" s="41">
        <f>SUM(C3:C4)</f>
        <v>1700</v>
      </c>
      <c r="D5" s="98">
        <f>B5-C5</f>
        <v>80539</v>
      </c>
      <c r="E5" s="98">
        <f>SUM(E3:E4)</f>
        <v>67275</v>
      </c>
      <c r="F5" s="98">
        <f>SUM(F3:F4)</f>
        <v>13264</v>
      </c>
      <c r="G5" s="279">
        <f>F5/D5</f>
        <v>0.16469039844050709</v>
      </c>
    </row>
    <row r="7" spans="1:7" ht="60" x14ac:dyDescent="0.25">
      <c r="A7" s="539" t="s">
        <v>136</v>
      </c>
      <c r="B7" s="538" t="s">
        <v>6</v>
      </c>
      <c r="C7" s="538" t="s">
        <v>7</v>
      </c>
      <c r="D7" s="539" t="s">
        <v>134</v>
      </c>
      <c r="E7" s="540" t="s">
        <v>137</v>
      </c>
      <c r="F7" s="544" t="s">
        <v>135</v>
      </c>
      <c r="G7" s="540" t="s">
        <v>137</v>
      </c>
    </row>
    <row r="8" spans="1:7" x14ac:dyDescent="0.2">
      <c r="A8" s="273">
        <v>0.75</v>
      </c>
      <c r="B8" s="41">
        <f t="shared" ref="B8:B13" si="0">$D$3*A8</f>
        <v>55366.5</v>
      </c>
      <c r="D8" s="41">
        <f t="shared" ref="D8:D13" si="1">B8+$C$14</f>
        <v>57045.75</v>
      </c>
      <c r="E8" s="41">
        <f t="shared" ref="E8:E13" si="2">D8-$E$5</f>
        <v>-10229.25</v>
      </c>
      <c r="F8" s="98">
        <f t="shared" ref="F8:F13" si="3">B8+$C$16</f>
        <v>57381.599999999999</v>
      </c>
      <c r="G8" s="41">
        <f t="shared" ref="G8:G13" si="4">F8-$E$3</f>
        <v>-7736.4000000000015</v>
      </c>
    </row>
    <row r="9" spans="1:7" x14ac:dyDescent="0.2">
      <c r="A9" s="273">
        <v>0.78</v>
      </c>
      <c r="B9" s="41">
        <f t="shared" si="0"/>
        <v>57581.16</v>
      </c>
      <c r="D9" s="41">
        <f t="shared" si="1"/>
        <v>59260.41</v>
      </c>
      <c r="E9" s="41">
        <f t="shared" si="2"/>
        <v>-8014.5899999999965</v>
      </c>
      <c r="F9" s="98">
        <f t="shared" si="3"/>
        <v>59596.26</v>
      </c>
      <c r="G9" s="41">
        <f t="shared" si="4"/>
        <v>-5521.739999999998</v>
      </c>
    </row>
    <row r="10" spans="1:7" x14ac:dyDescent="0.2">
      <c r="A10" s="273">
        <v>0.79</v>
      </c>
      <c r="B10" s="41">
        <f t="shared" si="0"/>
        <v>58319.380000000005</v>
      </c>
      <c r="D10" s="41">
        <f t="shared" si="1"/>
        <v>59998.630000000005</v>
      </c>
      <c r="E10" s="41">
        <f t="shared" si="2"/>
        <v>-7276.3699999999953</v>
      </c>
      <c r="F10" s="98">
        <f t="shared" si="3"/>
        <v>60334.48</v>
      </c>
      <c r="G10" s="41">
        <f t="shared" si="4"/>
        <v>-4783.5199999999968</v>
      </c>
    </row>
    <row r="11" spans="1:7" x14ac:dyDescent="0.2">
      <c r="A11" s="273">
        <v>0.8</v>
      </c>
      <c r="B11" s="41">
        <f t="shared" si="0"/>
        <v>59057.600000000006</v>
      </c>
      <c r="D11" s="41">
        <f t="shared" si="1"/>
        <v>60736.850000000006</v>
      </c>
      <c r="E11" s="41">
        <f t="shared" si="2"/>
        <v>-6538.1499999999942</v>
      </c>
      <c r="F11" s="98">
        <f t="shared" si="3"/>
        <v>61072.700000000004</v>
      </c>
      <c r="G11" s="41">
        <f t="shared" si="4"/>
        <v>-4045.2999999999956</v>
      </c>
    </row>
    <row r="12" spans="1:7" x14ac:dyDescent="0.2">
      <c r="A12" s="273">
        <v>0.82</v>
      </c>
      <c r="B12" s="41">
        <f t="shared" si="0"/>
        <v>60534.039999999994</v>
      </c>
      <c r="D12" s="41">
        <f t="shared" si="1"/>
        <v>62213.289999999994</v>
      </c>
      <c r="E12" s="41">
        <f t="shared" si="2"/>
        <v>-5061.7100000000064</v>
      </c>
      <c r="F12" s="98">
        <f t="shared" si="3"/>
        <v>62549.139999999992</v>
      </c>
      <c r="G12" s="41">
        <f t="shared" si="4"/>
        <v>-2568.8600000000079</v>
      </c>
    </row>
    <row r="13" spans="1:7" x14ac:dyDescent="0.2">
      <c r="A13" s="273">
        <v>0.85</v>
      </c>
      <c r="B13" s="41">
        <f t="shared" si="0"/>
        <v>62748.7</v>
      </c>
      <c r="D13" s="41">
        <f t="shared" si="1"/>
        <v>64427.95</v>
      </c>
      <c r="E13" s="41">
        <f t="shared" si="2"/>
        <v>-2847.0500000000029</v>
      </c>
      <c r="F13" s="98">
        <f t="shared" si="3"/>
        <v>64763.799999999996</v>
      </c>
      <c r="G13" s="41">
        <f t="shared" si="4"/>
        <v>-354.20000000000437</v>
      </c>
    </row>
    <row r="14" spans="1:7" x14ac:dyDescent="0.2">
      <c r="A14" s="273">
        <v>0.25</v>
      </c>
      <c r="B14" s="41"/>
      <c r="C14" s="41">
        <f>$B$4*A14</f>
        <v>1679.25</v>
      </c>
    </row>
    <row r="15" spans="1:7" x14ac:dyDescent="0.2">
      <c r="A15" s="273">
        <v>0.28000000000000003</v>
      </c>
      <c r="C15" s="41">
        <f>$B$4*A15</f>
        <v>1880.7600000000002</v>
      </c>
    </row>
    <row r="16" spans="1:7" x14ac:dyDescent="0.2">
      <c r="A16" s="273">
        <v>0.3</v>
      </c>
      <c r="C16" s="41">
        <f>$B$4*A16</f>
        <v>2015.1</v>
      </c>
    </row>
    <row r="17" spans="1:8" x14ac:dyDescent="0.2">
      <c r="D17" s="41"/>
    </row>
    <row r="19" spans="1:8" ht="15" x14ac:dyDescent="0.25">
      <c r="A19" s="538" t="s">
        <v>131</v>
      </c>
      <c r="B19" s="538">
        <v>2017</v>
      </c>
      <c r="C19" s="538">
        <v>2020</v>
      </c>
      <c r="D19" s="540"/>
    </row>
    <row r="20" spans="1:8" x14ac:dyDescent="0.2">
      <c r="A20" s="1" t="s">
        <v>6</v>
      </c>
      <c r="B20" s="273">
        <v>0.79</v>
      </c>
      <c r="C20" s="273">
        <v>0.84</v>
      </c>
      <c r="D20" s="589" t="s">
        <v>143</v>
      </c>
      <c r="E20" s="589"/>
      <c r="F20" s="589"/>
      <c r="G20" s="589"/>
      <c r="H20" s="589"/>
    </row>
    <row r="21" spans="1:8" x14ac:dyDescent="0.2">
      <c r="A21" s="1" t="s">
        <v>7</v>
      </c>
      <c r="B21" s="545">
        <v>0.26</v>
      </c>
      <c r="C21" s="545">
        <v>0.79</v>
      </c>
    </row>
    <row r="22" spans="1:8" x14ac:dyDescent="0.2">
      <c r="A22" s="1" t="s">
        <v>1</v>
      </c>
      <c r="B22" s="273">
        <v>0.67</v>
      </c>
      <c r="C22" s="273">
        <v>0.84</v>
      </c>
    </row>
  </sheetData>
  <mergeCells count="2">
    <mergeCell ref="A1:F1"/>
    <mergeCell ref="D20:H20"/>
  </mergeCells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47477-BA60-475E-989A-2726E62559C9}">
  <dimension ref="A1:D156"/>
  <sheetViews>
    <sheetView showGridLines="0" topLeftCell="A61" zoomScaleNormal="100" workbookViewId="0">
      <selection activeCell="D8" sqref="D8"/>
    </sheetView>
  </sheetViews>
  <sheetFormatPr defaultRowHeight="18" x14ac:dyDescent="0.25"/>
  <cols>
    <col min="1" max="1" width="29.5" style="307" customWidth="1"/>
    <col min="2" max="2" width="14.625" style="303" customWidth="1"/>
    <col min="3" max="3" width="9" style="306"/>
  </cols>
  <sheetData>
    <row r="1" spans="1:4" ht="30.75" customHeight="1" x14ac:dyDescent="0.35">
      <c r="A1" s="591" t="s">
        <v>60</v>
      </c>
      <c r="B1" s="591"/>
      <c r="C1" s="591"/>
      <c r="D1" s="591"/>
    </row>
    <row r="2" spans="1:4" ht="34.5" customHeight="1" x14ac:dyDescent="0.25">
      <c r="A2" s="590" t="s">
        <v>10</v>
      </c>
      <c r="B2" s="590"/>
      <c r="C2" s="590"/>
      <c r="D2" s="590"/>
    </row>
    <row r="3" spans="1:4" ht="17.25" customHeight="1" x14ac:dyDescent="0.25"/>
    <row r="4" spans="1:4" ht="32.25" thickBot="1" x14ac:dyDescent="0.3">
      <c r="A4" s="308"/>
      <c r="B4" s="316" t="s">
        <v>3</v>
      </c>
      <c r="C4" s="317" t="s">
        <v>1</v>
      </c>
    </row>
    <row r="5" spans="1:4" ht="15.75" customHeight="1" x14ac:dyDescent="0.25">
      <c r="B5" s="313">
        <v>34</v>
      </c>
      <c r="C5" s="312">
        <v>825</v>
      </c>
    </row>
    <row r="6" spans="1:4" ht="15.75" customHeight="1" x14ac:dyDescent="0.25">
      <c r="A6" s="307" t="s">
        <v>1</v>
      </c>
      <c r="B6" s="313">
        <v>36</v>
      </c>
      <c r="C6" s="312">
        <v>1314</v>
      </c>
    </row>
    <row r="7" spans="1:4" ht="15.75" customHeight="1" x14ac:dyDescent="0.25">
      <c r="B7" s="313">
        <v>38</v>
      </c>
      <c r="C7" s="312">
        <v>859</v>
      </c>
    </row>
    <row r="8" spans="1:4" ht="15.75" customHeight="1" x14ac:dyDescent="0.25">
      <c r="B8" s="313">
        <v>45</v>
      </c>
      <c r="C8" s="312">
        <v>88</v>
      </c>
    </row>
    <row r="9" spans="1:4" ht="15.75" customHeight="1" x14ac:dyDescent="0.25">
      <c r="B9" s="313">
        <v>49</v>
      </c>
      <c r="C9" s="312">
        <v>177</v>
      </c>
    </row>
    <row r="10" spans="1:4" ht="15.75" customHeight="1" x14ac:dyDescent="0.25">
      <c r="B10" s="313">
        <v>86</v>
      </c>
      <c r="C10" s="312">
        <v>995</v>
      </c>
    </row>
    <row r="11" spans="1:4" ht="15.75" customHeight="1" x14ac:dyDescent="0.25">
      <c r="A11" s="315"/>
      <c r="B11" s="313" t="s">
        <v>64</v>
      </c>
      <c r="C11" s="312">
        <v>6666</v>
      </c>
    </row>
    <row r="12" spans="1:4" ht="16.5" customHeight="1" thickBot="1" x14ac:dyDescent="0.3">
      <c r="A12" s="308"/>
      <c r="B12" s="311" t="s">
        <v>1</v>
      </c>
      <c r="C12" s="302">
        <f>SUM(C5:C11)</f>
        <v>10924</v>
      </c>
    </row>
    <row r="13" spans="1:4" ht="16.5" customHeight="1" x14ac:dyDescent="0.25">
      <c r="A13" s="310"/>
      <c r="B13" s="304"/>
      <c r="C13" s="73"/>
    </row>
    <row r="14" spans="1:4" ht="15.75" customHeight="1" x14ac:dyDescent="0.25">
      <c r="A14" s="307" t="s">
        <v>16</v>
      </c>
      <c r="B14" s="313">
        <v>34</v>
      </c>
      <c r="C14" s="312">
        <v>1</v>
      </c>
    </row>
    <row r="15" spans="1:4" ht="15.75" customHeight="1" x14ac:dyDescent="0.25">
      <c r="B15" s="313">
        <v>36</v>
      </c>
      <c r="C15" s="312">
        <v>0</v>
      </c>
    </row>
    <row r="16" spans="1:4" ht="15.75" customHeight="1" x14ac:dyDescent="0.25">
      <c r="B16" s="313">
        <v>38</v>
      </c>
      <c r="C16" s="312">
        <v>0</v>
      </c>
    </row>
    <row r="17" spans="1:3" ht="15.75" customHeight="1" x14ac:dyDescent="0.25">
      <c r="B17" s="313">
        <v>45</v>
      </c>
      <c r="C17" s="312">
        <v>0</v>
      </c>
    </row>
    <row r="18" spans="1:3" ht="15.75" customHeight="1" x14ac:dyDescent="0.25">
      <c r="B18" s="313">
        <v>49</v>
      </c>
      <c r="C18" s="312">
        <v>0</v>
      </c>
    </row>
    <row r="19" spans="1:3" ht="15.75" customHeight="1" x14ac:dyDescent="0.25">
      <c r="B19" s="313">
        <v>86</v>
      </c>
      <c r="C19" s="312">
        <v>0</v>
      </c>
    </row>
    <row r="20" spans="1:3" ht="15.75" customHeight="1" x14ac:dyDescent="0.25">
      <c r="A20" s="315"/>
      <c r="B20" s="313" t="s">
        <v>14</v>
      </c>
      <c r="C20" s="312">
        <v>313</v>
      </c>
    </row>
    <row r="21" spans="1:3" ht="16.5" customHeight="1" thickBot="1" x14ac:dyDescent="0.3">
      <c r="A21" s="308"/>
      <c r="B21" s="311" t="s">
        <v>1</v>
      </c>
      <c r="C21" s="319">
        <v>314</v>
      </c>
    </row>
    <row r="22" spans="1:3" ht="16.5" customHeight="1" x14ac:dyDescent="0.25">
      <c r="A22" s="314"/>
      <c r="B22" s="304"/>
      <c r="C22" s="73"/>
    </row>
    <row r="23" spans="1:3" ht="15.75" customHeight="1" x14ac:dyDescent="0.25">
      <c r="A23" s="310" t="s">
        <v>17</v>
      </c>
      <c r="B23" s="313">
        <v>34</v>
      </c>
      <c r="C23" s="312">
        <v>1</v>
      </c>
    </row>
    <row r="24" spans="1:3" ht="15.75" customHeight="1" x14ac:dyDescent="0.25">
      <c r="B24" s="313">
        <v>36</v>
      </c>
      <c r="C24" s="312">
        <v>1</v>
      </c>
    </row>
    <row r="25" spans="1:3" ht="15.75" customHeight="1" x14ac:dyDescent="0.25">
      <c r="B25" s="313">
        <v>38</v>
      </c>
      <c r="C25" s="312">
        <v>0</v>
      </c>
    </row>
    <row r="26" spans="1:3" ht="15.75" customHeight="1" x14ac:dyDescent="0.25">
      <c r="B26" s="313">
        <v>45</v>
      </c>
      <c r="C26" s="312">
        <v>0</v>
      </c>
    </row>
    <row r="27" spans="1:3" ht="15.75" customHeight="1" x14ac:dyDescent="0.25">
      <c r="B27" s="313">
        <v>49</v>
      </c>
      <c r="C27" s="312">
        <v>0</v>
      </c>
    </row>
    <row r="28" spans="1:3" ht="15.75" customHeight="1" x14ac:dyDescent="0.25">
      <c r="B28" s="313">
        <v>86</v>
      </c>
      <c r="C28" s="312">
        <v>0</v>
      </c>
    </row>
    <row r="29" spans="1:3" ht="15.75" customHeight="1" x14ac:dyDescent="0.25">
      <c r="A29" s="315"/>
      <c r="B29" s="313" t="s">
        <v>14</v>
      </c>
      <c r="C29" s="312">
        <v>175</v>
      </c>
    </row>
    <row r="30" spans="1:3" ht="16.5" customHeight="1" thickBot="1" x14ac:dyDescent="0.3">
      <c r="A30" s="308"/>
      <c r="B30" s="311" t="s">
        <v>1</v>
      </c>
      <c r="C30" s="319">
        <v>177</v>
      </c>
    </row>
    <row r="31" spans="1:3" ht="16.5" customHeight="1" x14ac:dyDescent="0.25">
      <c r="A31" s="310"/>
      <c r="B31" s="304"/>
      <c r="C31" s="73"/>
    </row>
    <row r="32" spans="1:3" ht="15.75" customHeight="1" x14ac:dyDescent="0.25">
      <c r="A32" s="307" t="s">
        <v>18</v>
      </c>
      <c r="B32" s="313">
        <v>34</v>
      </c>
      <c r="C32" s="312">
        <v>0</v>
      </c>
    </row>
    <row r="33" spans="1:3" ht="15.75" customHeight="1" x14ac:dyDescent="0.25">
      <c r="B33" s="313">
        <v>36</v>
      </c>
      <c r="C33" s="312">
        <v>0</v>
      </c>
    </row>
    <row r="34" spans="1:3" ht="15.75" customHeight="1" x14ac:dyDescent="0.25">
      <c r="B34" s="313">
        <v>38</v>
      </c>
      <c r="C34" s="312">
        <v>4</v>
      </c>
    </row>
    <row r="35" spans="1:3" ht="15.75" customHeight="1" x14ac:dyDescent="0.25">
      <c r="B35" s="313">
        <v>45</v>
      </c>
      <c r="C35" s="312">
        <v>3</v>
      </c>
    </row>
    <row r="36" spans="1:3" ht="15.75" customHeight="1" x14ac:dyDescent="0.25">
      <c r="B36" s="313">
        <v>49</v>
      </c>
      <c r="C36" s="312">
        <v>1</v>
      </c>
    </row>
    <row r="37" spans="1:3" ht="15.75" customHeight="1" x14ac:dyDescent="0.25">
      <c r="B37" s="313">
        <v>86</v>
      </c>
      <c r="C37" s="312">
        <v>0</v>
      </c>
    </row>
    <row r="38" spans="1:3" ht="15.75" customHeight="1" x14ac:dyDescent="0.25">
      <c r="A38" s="315"/>
      <c r="B38" s="313" t="s">
        <v>14</v>
      </c>
      <c r="C38" s="312">
        <v>532</v>
      </c>
    </row>
    <row r="39" spans="1:3" ht="16.5" customHeight="1" thickBot="1" x14ac:dyDescent="0.3">
      <c r="A39" s="308"/>
      <c r="B39" s="311" t="s">
        <v>1</v>
      </c>
      <c r="C39" s="319">
        <v>540</v>
      </c>
    </row>
    <row r="40" spans="1:3" ht="16.5" customHeight="1" x14ac:dyDescent="0.25">
      <c r="B40" s="304"/>
    </row>
    <row r="41" spans="1:3" ht="15.75" customHeight="1" x14ac:dyDescent="0.25">
      <c r="A41" s="307" t="s">
        <v>15</v>
      </c>
      <c r="B41" s="313">
        <v>34</v>
      </c>
      <c r="C41" s="312">
        <v>85</v>
      </c>
    </row>
    <row r="42" spans="1:3" ht="15.75" customHeight="1" x14ac:dyDescent="0.25">
      <c r="B42" s="313">
        <v>36</v>
      </c>
      <c r="C42" s="312">
        <v>171</v>
      </c>
    </row>
    <row r="43" spans="1:3" ht="15.75" customHeight="1" x14ac:dyDescent="0.25">
      <c r="B43" s="313">
        <v>38</v>
      </c>
      <c r="C43" s="312">
        <v>80</v>
      </c>
    </row>
    <row r="44" spans="1:3" ht="15.75" customHeight="1" x14ac:dyDescent="0.25">
      <c r="B44" s="313">
        <v>45</v>
      </c>
      <c r="C44" s="312">
        <v>5</v>
      </c>
    </row>
    <row r="45" spans="1:3" ht="15.75" customHeight="1" x14ac:dyDescent="0.25">
      <c r="B45" s="313">
        <v>49</v>
      </c>
      <c r="C45" s="312">
        <v>26</v>
      </c>
    </row>
    <row r="46" spans="1:3" ht="15.75" customHeight="1" x14ac:dyDescent="0.25">
      <c r="B46" s="313">
        <v>86</v>
      </c>
      <c r="C46" s="312">
        <v>163</v>
      </c>
    </row>
    <row r="47" spans="1:3" ht="15.75" customHeight="1" x14ac:dyDescent="0.25">
      <c r="A47" s="315"/>
      <c r="B47" s="313" t="s">
        <v>14</v>
      </c>
      <c r="C47" s="312">
        <v>1997</v>
      </c>
    </row>
    <row r="48" spans="1:3" ht="16.5" customHeight="1" thickBot="1" x14ac:dyDescent="0.3">
      <c r="A48" s="308"/>
      <c r="B48" s="311" t="s">
        <v>1</v>
      </c>
      <c r="C48" s="319">
        <v>2527</v>
      </c>
    </row>
    <row r="49" spans="1:3" ht="16.5" customHeight="1" x14ac:dyDescent="0.25">
      <c r="A49" s="310"/>
      <c r="B49" s="304"/>
      <c r="C49" s="73"/>
    </row>
    <row r="50" spans="1:3" ht="15.75" customHeight="1" x14ac:dyDescent="0.25">
      <c r="A50" s="307" t="s">
        <v>19</v>
      </c>
      <c r="B50" s="313">
        <v>34</v>
      </c>
      <c r="C50" s="312">
        <v>251</v>
      </c>
    </row>
    <row r="51" spans="1:3" ht="15.75" customHeight="1" x14ac:dyDescent="0.25">
      <c r="B51" s="313">
        <v>36</v>
      </c>
      <c r="C51" s="312">
        <v>12</v>
      </c>
    </row>
    <row r="52" spans="1:3" ht="15.75" customHeight="1" x14ac:dyDescent="0.25">
      <c r="B52" s="313">
        <v>38</v>
      </c>
      <c r="C52" s="312">
        <v>0</v>
      </c>
    </row>
    <row r="53" spans="1:3" ht="15.75" customHeight="1" x14ac:dyDescent="0.25">
      <c r="B53" s="313">
        <v>45</v>
      </c>
      <c r="C53" s="312">
        <v>0</v>
      </c>
    </row>
    <row r="54" spans="1:3" ht="15.75" customHeight="1" x14ac:dyDescent="0.25">
      <c r="B54" s="313">
        <v>49</v>
      </c>
      <c r="C54" s="312">
        <v>0</v>
      </c>
    </row>
    <row r="55" spans="1:3" ht="15.75" customHeight="1" x14ac:dyDescent="0.25">
      <c r="B55" s="313">
        <v>86</v>
      </c>
      <c r="C55" s="312">
        <v>0</v>
      </c>
    </row>
    <row r="56" spans="1:3" ht="15.75" customHeight="1" x14ac:dyDescent="0.25">
      <c r="A56" s="315"/>
      <c r="B56" s="313" t="s">
        <v>14</v>
      </c>
      <c r="C56" s="312">
        <v>2</v>
      </c>
    </row>
    <row r="57" spans="1:3" ht="16.5" customHeight="1" thickBot="1" x14ac:dyDescent="0.3">
      <c r="A57" s="308"/>
      <c r="B57" s="311" t="s">
        <v>1</v>
      </c>
      <c r="C57" s="319">
        <v>265</v>
      </c>
    </row>
    <row r="58" spans="1:3" ht="16.5" customHeight="1" x14ac:dyDescent="0.25">
      <c r="A58" s="310"/>
      <c r="B58" s="304"/>
      <c r="C58" s="73"/>
    </row>
    <row r="59" spans="1:3" ht="15.75" customHeight="1" x14ac:dyDescent="0.25">
      <c r="A59" s="307" t="s">
        <v>20</v>
      </c>
      <c r="B59" s="313">
        <v>34</v>
      </c>
      <c r="C59" s="312">
        <v>4</v>
      </c>
    </row>
    <row r="60" spans="1:3" ht="15.75" customHeight="1" x14ac:dyDescent="0.25">
      <c r="B60" s="313">
        <v>36</v>
      </c>
      <c r="C60" s="312">
        <v>60</v>
      </c>
    </row>
    <row r="61" spans="1:3" ht="15.75" customHeight="1" x14ac:dyDescent="0.25">
      <c r="B61" s="313">
        <v>38</v>
      </c>
      <c r="C61" s="312">
        <v>9</v>
      </c>
    </row>
    <row r="62" spans="1:3" ht="15.75" customHeight="1" x14ac:dyDescent="0.25">
      <c r="B62" s="313">
        <v>45</v>
      </c>
      <c r="C62" s="312">
        <v>0</v>
      </c>
    </row>
    <row r="63" spans="1:3" ht="15.75" customHeight="1" x14ac:dyDescent="0.25">
      <c r="B63" s="313">
        <v>49</v>
      </c>
      <c r="C63" s="312">
        <v>0</v>
      </c>
    </row>
    <row r="64" spans="1:3" ht="15.75" customHeight="1" x14ac:dyDescent="0.25">
      <c r="B64" s="313">
        <v>86</v>
      </c>
      <c r="C64" s="312">
        <v>444</v>
      </c>
    </row>
    <row r="65" spans="1:3" ht="15.75" customHeight="1" x14ac:dyDescent="0.25">
      <c r="A65" s="315"/>
      <c r="B65" s="313" t="s">
        <v>14</v>
      </c>
      <c r="C65" s="312">
        <v>101</v>
      </c>
    </row>
    <row r="66" spans="1:3" ht="16.5" customHeight="1" thickBot="1" x14ac:dyDescent="0.3">
      <c r="A66" s="308"/>
      <c r="B66" s="311" t="s">
        <v>1</v>
      </c>
      <c r="C66" s="319">
        <v>618</v>
      </c>
    </row>
    <row r="67" spans="1:3" ht="16.5" customHeight="1" x14ac:dyDescent="0.25">
      <c r="A67" s="310"/>
      <c r="B67" s="304"/>
      <c r="C67" s="73"/>
    </row>
    <row r="68" spans="1:3" ht="15.75" customHeight="1" x14ac:dyDescent="0.25">
      <c r="A68" s="307" t="s">
        <v>21</v>
      </c>
      <c r="B68" s="313">
        <v>34</v>
      </c>
      <c r="C68" s="312">
        <v>0</v>
      </c>
    </row>
    <row r="69" spans="1:3" ht="15.75" customHeight="1" x14ac:dyDescent="0.25">
      <c r="B69" s="313">
        <v>36</v>
      </c>
      <c r="C69" s="312">
        <v>0</v>
      </c>
    </row>
    <row r="70" spans="1:3" ht="15.75" customHeight="1" x14ac:dyDescent="0.25">
      <c r="B70" s="313">
        <v>38</v>
      </c>
      <c r="C70" s="312">
        <v>0</v>
      </c>
    </row>
    <row r="71" spans="1:3" ht="15.75" customHeight="1" x14ac:dyDescent="0.25">
      <c r="B71" s="313">
        <v>45</v>
      </c>
      <c r="C71" s="312">
        <v>0</v>
      </c>
    </row>
    <row r="72" spans="1:3" ht="15.75" customHeight="1" x14ac:dyDescent="0.25">
      <c r="B72" s="313">
        <v>49</v>
      </c>
      <c r="C72" s="312">
        <v>0</v>
      </c>
    </row>
    <row r="73" spans="1:3" ht="15.75" customHeight="1" x14ac:dyDescent="0.25">
      <c r="B73" s="313">
        <v>86</v>
      </c>
      <c r="C73" s="312">
        <v>0</v>
      </c>
    </row>
    <row r="74" spans="1:3" ht="15.75" customHeight="1" x14ac:dyDescent="0.25">
      <c r="A74" s="315"/>
      <c r="B74" s="313" t="s">
        <v>14</v>
      </c>
      <c r="C74" s="312">
        <v>98</v>
      </c>
    </row>
    <row r="75" spans="1:3" ht="16.5" customHeight="1" thickBot="1" x14ac:dyDescent="0.3">
      <c r="A75" s="308"/>
      <c r="B75" s="311" t="s">
        <v>1</v>
      </c>
      <c r="C75" s="319">
        <v>98</v>
      </c>
    </row>
    <row r="76" spans="1:3" ht="16.5" customHeight="1" x14ac:dyDescent="0.25">
      <c r="A76" s="310"/>
      <c r="B76" s="304"/>
      <c r="C76" s="73"/>
    </row>
    <row r="77" spans="1:3" ht="15.75" customHeight="1" x14ac:dyDescent="0.25">
      <c r="A77" s="307" t="s">
        <v>22</v>
      </c>
      <c r="B77" s="313">
        <v>34</v>
      </c>
      <c r="C77" s="312">
        <v>1</v>
      </c>
    </row>
    <row r="78" spans="1:3" ht="15.75" customHeight="1" x14ac:dyDescent="0.25">
      <c r="B78" s="313">
        <v>36</v>
      </c>
      <c r="C78" s="312">
        <v>0</v>
      </c>
    </row>
    <row r="79" spans="1:3" ht="15.75" customHeight="1" x14ac:dyDescent="0.25">
      <c r="B79" s="313">
        <v>38</v>
      </c>
      <c r="C79" s="312">
        <v>680</v>
      </c>
    </row>
    <row r="80" spans="1:3" ht="15.75" customHeight="1" x14ac:dyDescent="0.25">
      <c r="B80" s="313">
        <v>45</v>
      </c>
      <c r="C80" s="312">
        <v>0</v>
      </c>
    </row>
    <row r="81" spans="1:3" ht="15.75" customHeight="1" x14ac:dyDescent="0.25">
      <c r="B81" s="313">
        <v>49</v>
      </c>
      <c r="C81" s="312">
        <v>131</v>
      </c>
    </row>
    <row r="82" spans="1:3" ht="15.75" customHeight="1" x14ac:dyDescent="0.25">
      <c r="B82" s="313">
        <v>86</v>
      </c>
      <c r="C82" s="312">
        <v>0</v>
      </c>
    </row>
    <row r="83" spans="1:3" ht="15.75" customHeight="1" x14ac:dyDescent="0.25">
      <c r="A83" s="315"/>
      <c r="B83" s="313" t="s">
        <v>14</v>
      </c>
      <c r="C83" s="312">
        <v>116</v>
      </c>
    </row>
    <row r="84" spans="1:3" ht="16.5" customHeight="1" thickBot="1" x14ac:dyDescent="0.3">
      <c r="A84" s="308"/>
      <c r="B84" s="311" t="s">
        <v>1</v>
      </c>
      <c r="C84" s="319">
        <v>928</v>
      </c>
    </row>
    <row r="85" spans="1:3" ht="16.5" customHeight="1" x14ac:dyDescent="0.25">
      <c r="A85" s="310"/>
      <c r="B85" s="304"/>
      <c r="C85" s="73"/>
    </row>
    <row r="86" spans="1:3" ht="15.75" customHeight="1" x14ac:dyDescent="0.25">
      <c r="A86" s="307" t="s">
        <v>23</v>
      </c>
      <c r="B86" s="313">
        <v>34</v>
      </c>
      <c r="C86" s="312">
        <v>360</v>
      </c>
    </row>
    <row r="87" spans="1:3" ht="15.75" customHeight="1" x14ac:dyDescent="0.25">
      <c r="B87" s="313">
        <v>36</v>
      </c>
      <c r="C87" s="312">
        <v>2</v>
      </c>
    </row>
    <row r="88" spans="1:3" ht="15.75" customHeight="1" x14ac:dyDescent="0.25">
      <c r="B88" s="313">
        <v>38</v>
      </c>
      <c r="C88" s="312">
        <v>1</v>
      </c>
    </row>
    <row r="89" spans="1:3" ht="15.75" customHeight="1" x14ac:dyDescent="0.25">
      <c r="B89" s="313">
        <v>45</v>
      </c>
      <c r="C89" s="312">
        <v>1</v>
      </c>
    </row>
    <row r="90" spans="1:3" ht="15.75" customHeight="1" x14ac:dyDescent="0.25">
      <c r="B90" s="313">
        <v>49</v>
      </c>
      <c r="C90" s="312">
        <v>1</v>
      </c>
    </row>
    <row r="91" spans="1:3" ht="15.75" customHeight="1" x14ac:dyDescent="0.25">
      <c r="B91" s="313">
        <v>86</v>
      </c>
      <c r="C91" s="312">
        <v>0</v>
      </c>
    </row>
    <row r="92" spans="1:3" ht="15.75" customHeight="1" x14ac:dyDescent="0.25">
      <c r="A92" s="315"/>
      <c r="B92" s="313" t="s">
        <v>14</v>
      </c>
      <c r="C92" s="312">
        <v>385</v>
      </c>
    </row>
    <row r="93" spans="1:3" ht="16.5" customHeight="1" thickBot="1" x14ac:dyDescent="0.3">
      <c r="A93" s="308"/>
      <c r="B93" s="311" t="s">
        <v>1</v>
      </c>
      <c r="C93" s="319">
        <v>750</v>
      </c>
    </row>
    <row r="94" spans="1:3" ht="16.5" customHeight="1" x14ac:dyDescent="0.25">
      <c r="A94" s="310"/>
      <c r="B94" s="304"/>
      <c r="C94" s="73"/>
    </row>
    <row r="95" spans="1:3" ht="15.75" customHeight="1" x14ac:dyDescent="0.25">
      <c r="A95" s="307" t="s">
        <v>24</v>
      </c>
      <c r="B95" s="313">
        <v>34</v>
      </c>
      <c r="C95" s="312">
        <v>1</v>
      </c>
    </row>
    <row r="96" spans="1:3" ht="15.75" customHeight="1" x14ac:dyDescent="0.25">
      <c r="B96" s="313">
        <v>36</v>
      </c>
      <c r="C96" s="312">
        <v>0</v>
      </c>
    </row>
    <row r="97" spans="1:3" ht="15.75" customHeight="1" x14ac:dyDescent="0.25">
      <c r="B97" s="313">
        <v>38</v>
      </c>
      <c r="C97" s="312">
        <v>2</v>
      </c>
    </row>
    <row r="98" spans="1:3" ht="15.75" customHeight="1" x14ac:dyDescent="0.25">
      <c r="B98" s="313">
        <v>45</v>
      </c>
      <c r="C98" s="312">
        <v>69</v>
      </c>
    </row>
    <row r="99" spans="1:3" ht="15.75" customHeight="1" x14ac:dyDescent="0.25">
      <c r="B99" s="313">
        <v>49</v>
      </c>
      <c r="C99" s="312">
        <v>4</v>
      </c>
    </row>
    <row r="100" spans="1:3" ht="15.75" customHeight="1" x14ac:dyDescent="0.25">
      <c r="B100" s="313">
        <v>86</v>
      </c>
      <c r="C100" s="312">
        <v>1</v>
      </c>
    </row>
    <row r="101" spans="1:3" ht="15.75" customHeight="1" x14ac:dyDescent="0.25">
      <c r="A101" s="315"/>
      <c r="B101" s="313" t="s">
        <v>14</v>
      </c>
      <c r="C101" s="312">
        <v>1179</v>
      </c>
    </row>
    <row r="102" spans="1:3" ht="16.5" customHeight="1" thickBot="1" x14ac:dyDescent="0.3">
      <c r="A102" s="308"/>
      <c r="B102" s="311" t="s">
        <v>1</v>
      </c>
      <c r="C102" s="318">
        <v>1256</v>
      </c>
    </row>
    <row r="103" spans="1:3" ht="15.75" customHeight="1" x14ac:dyDescent="0.25">
      <c r="A103" s="310"/>
      <c r="B103" s="304"/>
      <c r="C103" s="73"/>
    </row>
    <row r="104" spans="1:3" ht="15.75" customHeight="1" x14ac:dyDescent="0.25">
      <c r="A104" s="307" t="s">
        <v>25</v>
      </c>
      <c r="B104" s="313">
        <v>34</v>
      </c>
      <c r="C104" s="312">
        <v>72</v>
      </c>
    </row>
    <row r="105" spans="1:3" ht="15.75" customHeight="1" x14ac:dyDescent="0.25">
      <c r="B105" s="313">
        <v>36</v>
      </c>
      <c r="C105" s="312">
        <v>1043</v>
      </c>
    </row>
    <row r="106" spans="1:3" ht="15.75" customHeight="1" x14ac:dyDescent="0.25">
      <c r="B106" s="313">
        <v>38</v>
      </c>
      <c r="C106" s="312">
        <v>39</v>
      </c>
    </row>
    <row r="107" spans="1:3" ht="15.75" customHeight="1" x14ac:dyDescent="0.25">
      <c r="B107" s="313">
        <v>45</v>
      </c>
      <c r="C107" s="312">
        <v>0</v>
      </c>
    </row>
    <row r="108" spans="1:3" ht="15.75" customHeight="1" x14ac:dyDescent="0.25">
      <c r="B108" s="313">
        <v>49</v>
      </c>
      <c r="C108" s="312">
        <v>0</v>
      </c>
    </row>
    <row r="109" spans="1:3" ht="15.75" customHeight="1" x14ac:dyDescent="0.25">
      <c r="B109" s="313">
        <v>86</v>
      </c>
      <c r="C109" s="312">
        <v>353</v>
      </c>
    </row>
    <row r="110" spans="1:3" ht="16.5" customHeight="1" x14ac:dyDescent="0.25">
      <c r="A110" s="315"/>
      <c r="B110" s="313" t="s">
        <v>14</v>
      </c>
      <c r="C110" s="312">
        <v>46</v>
      </c>
    </row>
    <row r="111" spans="1:3" ht="16.5" customHeight="1" thickBot="1" x14ac:dyDescent="0.3">
      <c r="A111" s="308"/>
      <c r="B111" s="311" t="s">
        <v>1</v>
      </c>
      <c r="C111" s="319">
        <v>1553</v>
      </c>
    </row>
    <row r="112" spans="1:3" ht="15.75" customHeight="1" x14ac:dyDescent="0.25">
      <c r="A112" s="310"/>
      <c r="B112" s="304"/>
      <c r="C112" s="73"/>
    </row>
    <row r="113" spans="1:3" ht="15.75" customHeight="1" x14ac:dyDescent="0.25">
      <c r="A113" s="307" t="s">
        <v>26</v>
      </c>
      <c r="B113" s="313">
        <v>34</v>
      </c>
      <c r="C113" s="312">
        <v>6</v>
      </c>
    </row>
    <row r="114" spans="1:3" ht="15.75" customHeight="1" x14ac:dyDescent="0.25">
      <c r="B114" s="313">
        <v>36</v>
      </c>
      <c r="C114" s="312">
        <v>17</v>
      </c>
    </row>
    <row r="115" spans="1:3" ht="15.75" customHeight="1" x14ac:dyDescent="0.25">
      <c r="B115" s="313">
        <v>38</v>
      </c>
      <c r="C115" s="312">
        <v>0</v>
      </c>
    </row>
    <row r="116" spans="1:3" ht="15.75" customHeight="1" x14ac:dyDescent="0.25">
      <c r="B116" s="313">
        <v>45</v>
      </c>
      <c r="C116" s="312">
        <v>0</v>
      </c>
    </row>
    <row r="117" spans="1:3" ht="15.75" customHeight="1" x14ac:dyDescent="0.25">
      <c r="B117" s="313">
        <v>49</v>
      </c>
      <c r="C117" s="312">
        <v>0</v>
      </c>
    </row>
    <row r="118" spans="1:3" ht="15.75" customHeight="1" x14ac:dyDescent="0.25">
      <c r="B118" s="313">
        <v>86</v>
      </c>
      <c r="C118" s="312">
        <v>0</v>
      </c>
    </row>
    <row r="119" spans="1:3" ht="16.5" customHeight="1" x14ac:dyDescent="0.25">
      <c r="A119" s="315"/>
      <c r="B119" s="313" t="s">
        <v>14</v>
      </c>
      <c r="C119" s="312">
        <v>473</v>
      </c>
    </row>
    <row r="120" spans="1:3" ht="16.5" customHeight="1" thickBot="1" x14ac:dyDescent="0.3">
      <c r="A120" s="308"/>
      <c r="B120" s="311" t="s">
        <v>1</v>
      </c>
      <c r="C120" s="319">
        <v>496</v>
      </c>
    </row>
    <row r="121" spans="1:3" ht="15.75" customHeight="1" x14ac:dyDescent="0.25">
      <c r="A121" s="310"/>
      <c r="B121" s="304"/>
      <c r="C121" s="73"/>
    </row>
    <row r="122" spans="1:3" ht="15.75" customHeight="1" x14ac:dyDescent="0.25">
      <c r="A122" s="307" t="s">
        <v>27</v>
      </c>
      <c r="B122" s="313">
        <v>34</v>
      </c>
      <c r="C122" s="312">
        <v>0</v>
      </c>
    </row>
    <row r="123" spans="1:3" ht="15.75" customHeight="1" x14ac:dyDescent="0.25">
      <c r="B123" s="313">
        <v>36</v>
      </c>
      <c r="C123" s="312">
        <v>3</v>
      </c>
    </row>
    <row r="124" spans="1:3" ht="15.75" customHeight="1" x14ac:dyDescent="0.25">
      <c r="B124" s="313">
        <v>38</v>
      </c>
      <c r="C124" s="312">
        <v>0</v>
      </c>
    </row>
    <row r="125" spans="1:3" ht="15.75" customHeight="1" x14ac:dyDescent="0.25">
      <c r="B125" s="313">
        <v>45</v>
      </c>
      <c r="C125" s="312">
        <v>0</v>
      </c>
    </row>
    <row r="126" spans="1:3" ht="15.75" customHeight="1" x14ac:dyDescent="0.25">
      <c r="B126" s="313">
        <v>49</v>
      </c>
      <c r="C126" s="312">
        <v>0</v>
      </c>
    </row>
    <row r="127" spans="1:3" ht="15.75" customHeight="1" x14ac:dyDescent="0.25">
      <c r="B127" s="313">
        <v>86</v>
      </c>
      <c r="C127" s="312">
        <v>33</v>
      </c>
    </row>
    <row r="128" spans="1:3" ht="16.5" customHeight="1" x14ac:dyDescent="0.25">
      <c r="A128" s="315"/>
      <c r="B128" s="313" t="s">
        <v>14</v>
      </c>
      <c r="C128" s="312">
        <v>167</v>
      </c>
    </row>
    <row r="129" spans="1:3" ht="18.75" thickBot="1" x14ac:dyDescent="0.3">
      <c r="A129" s="308"/>
      <c r="B129" s="305" t="s">
        <v>1</v>
      </c>
      <c r="C129" s="320">
        <v>203</v>
      </c>
    </row>
    <row r="130" spans="1:3" x14ac:dyDescent="0.25">
      <c r="A130" s="310"/>
      <c r="B130" s="304"/>
      <c r="C130" s="73"/>
    </row>
    <row r="131" spans="1:3" x14ac:dyDescent="0.25">
      <c r="A131" s="307" t="s">
        <v>28</v>
      </c>
      <c r="B131" s="313">
        <v>34</v>
      </c>
      <c r="C131" s="312">
        <v>0</v>
      </c>
    </row>
    <row r="132" spans="1:3" x14ac:dyDescent="0.25">
      <c r="B132" s="313">
        <v>36</v>
      </c>
      <c r="C132" s="312">
        <v>0</v>
      </c>
    </row>
    <row r="133" spans="1:3" x14ac:dyDescent="0.25">
      <c r="B133" s="313">
        <v>38</v>
      </c>
      <c r="C133" s="312">
        <v>39</v>
      </c>
    </row>
    <row r="134" spans="1:3" x14ac:dyDescent="0.25">
      <c r="B134" s="313">
        <v>45</v>
      </c>
      <c r="C134" s="312">
        <v>10</v>
      </c>
    </row>
    <row r="135" spans="1:3" x14ac:dyDescent="0.25">
      <c r="B135" s="313">
        <v>49</v>
      </c>
      <c r="C135" s="312">
        <v>14</v>
      </c>
    </row>
    <row r="136" spans="1:3" x14ac:dyDescent="0.25">
      <c r="B136" s="313">
        <v>86</v>
      </c>
      <c r="C136" s="312">
        <v>0</v>
      </c>
    </row>
    <row r="137" spans="1:3" x14ac:dyDescent="0.25">
      <c r="B137" s="313" t="s">
        <v>14</v>
      </c>
      <c r="C137" s="312">
        <v>150</v>
      </c>
    </row>
    <row r="138" spans="1:3" ht="18.75" thickBot="1" x14ac:dyDescent="0.3">
      <c r="A138" s="309"/>
      <c r="B138" s="311" t="s">
        <v>1</v>
      </c>
      <c r="C138" s="319">
        <v>213</v>
      </c>
    </row>
    <row r="139" spans="1:3" x14ac:dyDescent="0.25">
      <c r="A139" s="310"/>
      <c r="B139" s="304"/>
      <c r="C139" s="73"/>
    </row>
    <row r="140" spans="1:3" x14ac:dyDescent="0.25">
      <c r="A140" s="307" t="s">
        <v>29</v>
      </c>
      <c r="B140" s="313">
        <v>34</v>
      </c>
      <c r="C140" s="312">
        <v>43</v>
      </c>
    </row>
    <row r="141" spans="1:3" x14ac:dyDescent="0.25">
      <c r="B141" s="313">
        <v>36</v>
      </c>
      <c r="C141" s="312">
        <v>5</v>
      </c>
    </row>
    <row r="142" spans="1:3" x14ac:dyDescent="0.25">
      <c r="B142" s="313">
        <v>38</v>
      </c>
      <c r="C142" s="312">
        <v>3</v>
      </c>
    </row>
    <row r="143" spans="1:3" x14ac:dyDescent="0.25">
      <c r="B143" s="313">
        <v>45</v>
      </c>
      <c r="C143" s="312">
        <v>0</v>
      </c>
    </row>
    <row r="144" spans="1:3" x14ac:dyDescent="0.25">
      <c r="B144" s="313">
        <v>49</v>
      </c>
      <c r="C144" s="312">
        <v>0</v>
      </c>
    </row>
    <row r="145" spans="1:3" x14ac:dyDescent="0.25">
      <c r="B145" s="313">
        <v>86</v>
      </c>
      <c r="C145" s="312">
        <v>1</v>
      </c>
    </row>
    <row r="146" spans="1:3" x14ac:dyDescent="0.25">
      <c r="A146" s="315"/>
      <c r="B146" s="313" t="s">
        <v>14</v>
      </c>
      <c r="C146" s="312">
        <v>317</v>
      </c>
    </row>
    <row r="147" spans="1:3" ht="18.75" thickBot="1" x14ac:dyDescent="0.3">
      <c r="A147" s="308"/>
      <c r="B147" s="311" t="s">
        <v>1</v>
      </c>
      <c r="C147" s="319">
        <v>369</v>
      </c>
    </row>
    <row r="148" spans="1:3" x14ac:dyDescent="0.25">
      <c r="A148" s="310"/>
      <c r="B148" s="304"/>
      <c r="C148" s="73"/>
    </row>
    <row r="149" spans="1:3" x14ac:dyDescent="0.25">
      <c r="A149" s="307" t="s">
        <v>30</v>
      </c>
      <c r="B149" s="313">
        <v>34</v>
      </c>
      <c r="C149" s="312">
        <v>0</v>
      </c>
    </row>
    <row r="150" spans="1:3" x14ac:dyDescent="0.25">
      <c r="B150" s="313">
        <v>36</v>
      </c>
      <c r="C150" s="312">
        <v>0</v>
      </c>
    </row>
    <row r="151" spans="1:3" x14ac:dyDescent="0.25">
      <c r="B151" s="313">
        <v>38</v>
      </c>
      <c r="C151" s="312">
        <v>2</v>
      </c>
    </row>
    <row r="152" spans="1:3" x14ac:dyDescent="0.25">
      <c r="B152" s="313">
        <v>45</v>
      </c>
      <c r="C152" s="312">
        <v>0</v>
      </c>
    </row>
    <row r="153" spans="1:3" x14ac:dyDescent="0.25">
      <c r="B153" s="313">
        <v>49</v>
      </c>
      <c r="C153" s="312">
        <v>0</v>
      </c>
    </row>
    <row r="154" spans="1:3" x14ac:dyDescent="0.25">
      <c r="B154" s="313">
        <v>86</v>
      </c>
      <c r="C154" s="312">
        <v>0</v>
      </c>
    </row>
    <row r="155" spans="1:3" x14ac:dyDescent="0.25">
      <c r="A155" s="315"/>
      <c r="B155" s="313" t="s">
        <v>14</v>
      </c>
      <c r="C155" s="312">
        <v>615</v>
      </c>
    </row>
    <row r="156" spans="1:3" ht="18.75" thickBot="1" x14ac:dyDescent="0.3">
      <c r="A156" s="308"/>
      <c r="B156" s="311" t="s">
        <v>1</v>
      </c>
      <c r="C156" s="319">
        <v>617</v>
      </c>
    </row>
  </sheetData>
  <mergeCells count="2">
    <mergeCell ref="A2:D2"/>
    <mergeCell ref="A1:D1"/>
  </mergeCells>
  <pageMargins left="0.7" right="0.7" top="0.75" bottom="0.75" header="0.3" footer="0.3"/>
  <pageSetup orientation="portrait" horizontalDpi="1200" verticalDpi="1200" r:id="rId1"/>
  <rowBreaks count="2" manualBreakCount="2">
    <brk id="39" max="16383" man="1"/>
    <brk id="84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EDDF0-72E8-4A9E-931C-F09B31562CCE}">
  <dimension ref="A3:EH50"/>
  <sheetViews>
    <sheetView workbookViewId="0">
      <selection activeCell="L11" sqref="L11"/>
    </sheetView>
  </sheetViews>
  <sheetFormatPr defaultRowHeight="14.25" x14ac:dyDescent="0.2"/>
  <cols>
    <col min="2" max="8" width="8.125" customWidth="1"/>
    <col min="10" max="10" width="2.75" customWidth="1"/>
    <col min="11" max="138" width="6.625" customWidth="1"/>
  </cols>
  <sheetData>
    <row r="3" spans="1:138" ht="24" thickBot="1" x14ac:dyDescent="0.25">
      <c r="A3" s="72"/>
      <c r="B3" s="594" t="s">
        <v>1</v>
      </c>
      <c r="C3" s="595"/>
      <c r="D3" s="595"/>
      <c r="E3" s="595"/>
      <c r="F3" s="595"/>
      <c r="G3" s="595"/>
      <c r="H3" s="595"/>
      <c r="I3" s="596"/>
      <c r="J3" s="156"/>
      <c r="K3" s="597" t="s">
        <v>15</v>
      </c>
      <c r="L3" s="593"/>
      <c r="M3" s="593"/>
      <c r="N3" s="593"/>
      <c r="O3" s="593"/>
      <c r="P3" s="593"/>
      <c r="Q3" s="593"/>
      <c r="R3" s="593"/>
      <c r="S3" s="592" t="s">
        <v>24</v>
      </c>
      <c r="T3" s="593"/>
      <c r="U3" s="593"/>
      <c r="V3" s="593"/>
      <c r="W3" s="593"/>
      <c r="X3" s="593"/>
      <c r="Y3" s="593"/>
      <c r="Z3" s="593"/>
      <c r="AA3" s="592" t="s">
        <v>25</v>
      </c>
      <c r="AB3" s="593"/>
      <c r="AC3" s="593"/>
      <c r="AD3" s="593"/>
      <c r="AE3" s="593"/>
      <c r="AF3" s="593"/>
      <c r="AG3" s="593"/>
      <c r="AH3" s="593"/>
      <c r="AI3" s="592" t="s">
        <v>16</v>
      </c>
      <c r="AJ3" s="593"/>
      <c r="AK3" s="593"/>
      <c r="AL3" s="593"/>
      <c r="AM3" s="593"/>
      <c r="AN3" s="593"/>
      <c r="AO3" s="593"/>
      <c r="AP3" s="593"/>
      <c r="AQ3" s="592" t="s">
        <v>17</v>
      </c>
      <c r="AR3" s="593"/>
      <c r="AS3" s="593"/>
      <c r="AT3" s="593"/>
      <c r="AU3" s="593"/>
      <c r="AV3" s="593"/>
      <c r="AW3" s="593"/>
      <c r="AX3" s="593"/>
      <c r="AY3" s="592" t="s">
        <v>18</v>
      </c>
      <c r="AZ3" s="593"/>
      <c r="BA3" s="593"/>
      <c r="BB3" s="593"/>
      <c r="BC3" s="593"/>
      <c r="BD3" s="593"/>
      <c r="BE3" s="593"/>
      <c r="BF3" s="593"/>
      <c r="BG3" s="592" t="s">
        <v>19</v>
      </c>
      <c r="BH3" s="593"/>
      <c r="BI3" s="593"/>
      <c r="BJ3" s="593"/>
      <c r="BK3" s="593"/>
      <c r="BL3" s="593"/>
      <c r="BM3" s="593"/>
      <c r="BN3" s="593"/>
      <c r="BO3" s="592" t="s">
        <v>20</v>
      </c>
      <c r="BP3" s="593"/>
      <c r="BQ3" s="593"/>
      <c r="BR3" s="593"/>
      <c r="BS3" s="593"/>
      <c r="BT3" s="593"/>
      <c r="BU3" s="593"/>
      <c r="BV3" s="593"/>
      <c r="BW3" s="592" t="s">
        <v>21</v>
      </c>
      <c r="BX3" s="593"/>
      <c r="BY3" s="593"/>
      <c r="BZ3" s="593"/>
      <c r="CA3" s="593"/>
      <c r="CB3" s="593"/>
      <c r="CC3" s="593"/>
      <c r="CD3" s="593"/>
      <c r="CE3" s="592" t="s">
        <v>22</v>
      </c>
      <c r="CF3" s="593"/>
      <c r="CG3" s="593"/>
      <c r="CH3" s="593"/>
      <c r="CI3" s="593"/>
      <c r="CJ3" s="593"/>
      <c r="CK3" s="593"/>
      <c r="CL3" s="593"/>
      <c r="CM3" s="592" t="s">
        <v>23</v>
      </c>
      <c r="CN3" s="593"/>
      <c r="CO3" s="593"/>
      <c r="CP3" s="593"/>
      <c r="CQ3" s="593"/>
      <c r="CR3" s="593"/>
      <c r="CS3" s="593"/>
      <c r="CT3" s="593"/>
      <c r="CU3" s="592" t="s">
        <v>26</v>
      </c>
      <c r="CV3" s="593"/>
      <c r="CW3" s="593"/>
      <c r="CX3" s="593"/>
      <c r="CY3" s="593"/>
      <c r="CZ3" s="593"/>
      <c r="DA3" s="593"/>
      <c r="DB3" s="593"/>
      <c r="DC3" s="592" t="s">
        <v>27</v>
      </c>
      <c r="DD3" s="593"/>
      <c r="DE3" s="593"/>
      <c r="DF3" s="593"/>
      <c r="DG3" s="593"/>
      <c r="DH3" s="593"/>
      <c r="DI3" s="593"/>
      <c r="DJ3" s="593"/>
      <c r="DK3" s="592" t="s">
        <v>28</v>
      </c>
      <c r="DL3" s="593"/>
      <c r="DM3" s="593"/>
      <c r="DN3" s="593"/>
      <c r="DO3" s="593"/>
      <c r="DP3" s="593"/>
      <c r="DQ3" s="593"/>
      <c r="DR3" s="593"/>
      <c r="DS3" s="592" t="s">
        <v>29</v>
      </c>
      <c r="DT3" s="593"/>
      <c r="DU3" s="593"/>
      <c r="DV3" s="593"/>
      <c r="DW3" s="593"/>
      <c r="DX3" s="593"/>
      <c r="DY3" s="593"/>
      <c r="DZ3" s="593"/>
      <c r="EA3" s="592" t="s">
        <v>30</v>
      </c>
      <c r="EB3" s="593"/>
      <c r="EC3" s="593"/>
      <c r="ED3" s="593"/>
      <c r="EE3" s="593"/>
      <c r="EF3" s="593"/>
      <c r="EG3" s="593"/>
      <c r="EH3" s="593"/>
    </row>
    <row r="4" spans="1:138" ht="30" x14ac:dyDescent="0.2">
      <c r="A4" s="194" t="s">
        <v>3</v>
      </c>
      <c r="B4" s="195">
        <v>34</v>
      </c>
      <c r="C4" s="196">
        <v>36</v>
      </c>
      <c r="D4" s="195">
        <v>38</v>
      </c>
      <c r="E4" s="196">
        <v>45</v>
      </c>
      <c r="F4" s="195">
        <v>49</v>
      </c>
      <c r="G4" s="196">
        <v>86</v>
      </c>
      <c r="H4" s="195" t="s">
        <v>14</v>
      </c>
      <c r="I4" s="197" t="s">
        <v>1</v>
      </c>
      <c r="J4" s="157"/>
      <c r="K4" s="181">
        <v>34</v>
      </c>
      <c r="L4" s="182">
        <v>36</v>
      </c>
      <c r="M4" s="182">
        <v>38</v>
      </c>
      <c r="N4" s="182">
        <v>45</v>
      </c>
      <c r="O4" s="182">
        <v>49</v>
      </c>
      <c r="P4" s="182">
        <v>86</v>
      </c>
      <c r="Q4" s="182" t="s">
        <v>14</v>
      </c>
      <c r="R4" s="183" t="s">
        <v>1</v>
      </c>
      <c r="S4" s="184">
        <v>34</v>
      </c>
      <c r="T4" s="182">
        <v>36</v>
      </c>
      <c r="U4" s="182">
        <v>38</v>
      </c>
      <c r="V4" s="182">
        <v>45</v>
      </c>
      <c r="W4" s="182">
        <v>49</v>
      </c>
      <c r="X4" s="182">
        <v>86</v>
      </c>
      <c r="Y4" s="182" t="s">
        <v>14</v>
      </c>
      <c r="Z4" s="183" t="s">
        <v>1</v>
      </c>
      <c r="AA4" s="184">
        <v>34</v>
      </c>
      <c r="AB4" s="182">
        <v>36</v>
      </c>
      <c r="AC4" s="182">
        <v>38</v>
      </c>
      <c r="AD4" s="182">
        <v>45</v>
      </c>
      <c r="AE4" s="182">
        <v>49</v>
      </c>
      <c r="AF4" s="182">
        <v>86</v>
      </c>
      <c r="AG4" s="182" t="s">
        <v>14</v>
      </c>
      <c r="AH4" s="183" t="s">
        <v>1</v>
      </c>
      <c r="AI4" s="184">
        <v>34</v>
      </c>
      <c r="AJ4" s="182">
        <v>36</v>
      </c>
      <c r="AK4" s="182">
        <v>38</v>
      </c>
      <c r="AL4" s="182">
        <v>45</v>
      </c>
      <c r="AM4" s="182">
        <v>49</v>
      </c>
      <c r="AN4" s="182">
        <v>86</v>
      </c>
      <c r="AO4" s="182" t="s">
        <v>14</v>
      </c>
      <c r="AP4" s="183" t="s">
        <v>1</v>
      </c>
      <c r="AQ4" s="184">
        <v>34</v>
      </c>
      <c r="AR4" s="182">
        <v>36</v>
      </c>
      <c r="AS4" s="182">
        <v>38</v>
      </c>
      <c r="AT4" s="182">
        <v>45</v>
      </c>
      <c r="AU4" s="182">
        <v>49</v>
      </c>
      <c r="AV4" s="182">
        <v>86</v>
      </c>
      <c r="AW4" s="182" t="s">
        <v>14</v>
      </c>
      <c r="AX4" s="183" t="s">
        <v>1</v>
      </c>
      <c r="AY4" s="184">
        <v>34</v>
      </c>
      <c r="AZ4" s="182">
        <v>36</v>
      </c>
      <c r="BA4" s="182">
        <v>38</v>
      </c>
      <c r="BB4" s="182">
        <v>45</v>
      </c>
      <c r="BC4" s="182">
        <v>49</v>
      </c>
      <c r="BD4" s="182">
        <v>86</v>
      </c>
      <c r="BE4" s="182" t="s">
        <v>14</v>
      </c>
      <c r="BF4" s="183" t="s">
        <v>1</v>
      </c>
      <c r="BG4" s="184">
        <v>34</v>
      </c>
      <c r="BH4" s="182">
        <v>36</v>
      </c>
      <c r="BI4" s="182">
        <v>38</v>
      </c>
      <c r="BJ4" s="182">
        <v>45</v>
      </c>
      <c r="BK4" s="182">
        <v>49</v>
      </c>
      <c r="BL4" s="182">
        <v>86</v>
      </c>
      <c r="BM4" s="182" t="s">
        <v>14</v>
      </c>
      <c r="BN4" s="183" t="s">
        <v>1</v>
      </c>
      <c r="BO4" s="184">
        <v>34</v>
      </c>
      <c r="BP4" s="182">
        <v>36</v>
      </c>
      <c r="BQ4" s="182">
        <v>38</v>
      </c>
      <c r="BR4" s="182">
        <v>45</v>
      </c>
      <c r="BS4" s="182">
        <v>49</v>
      </c>
      <c r="BT4" s="182">
        <v>86</v>
      </c>
      <c r="BU4" s="182" t="s">
        <v>14</v>
      </c>
      <c r="BV4" s="183" t="s">
        <v>1</v>
      </c>
      <c r="BW4" s="184">
        <v>34</v>
      </c>
      <c r="BX4" s="182">
        <v>36</v>
      </c>
      <c r="BY4" s="182">
        <v>38</v>
      </c>
      <c r="BZ4" s="182">
        <v>45</v>
      </c>
      <c r="CA4" s="182">
        <v>49</v>
      </c>
      <c r="CB4" s="182">
        <v>86</v>
      </c>
      <c r="CC4" s="182" t="s">
        <v>14</v>
      </c>
      <c r="CD4" s="183" t="s">
        <v>1</v>
      </c>
      <c r="CE4" s="184">
        <v>34</v>
      </c>
      <c r="CF4" s="182">
        <v>36</v>
      </c>
      <c r="CG4" s="182">
        <v>38</v>
      </c>
      <c r="CH4" s="182">
        <v>45</v>
      </c>
      <c r="CI4" s="182">
        <v>49</v>
      </c>
      <c r="CJ4" s="182">
        <v>86</v>
      </c>
      <c r="CK4" s="182" t="s">
        <v>14</v>
      </c>
      <c r="CL4" s="183" t="s">
        <v>1</v>
      </c>
      <c r="CM4" s="184">
        <v>34</v>
      </c>
      <c r="CN4" s="182">
        <v>36</v>
      </c>
      <c r="CO4" s="182">
        <v>38</v>
      </c>
      <c r="CP4" s="182">
        <v>45</v>
      </c>
      <c r="CQ4" s="182">
        <v>49</v>
      </c>
      <c r="CR4" s="182">
        <v>86</v>
      </c>
      <c r="CS4" s="182" t="s">
        <v>14</v>
      </c>
      <c r="CT4" s="183" t="s">
        <v>1</v>
      </c>
      <c r="CU4" s="184">
        <v>34</v>
      </c>
      <c r="CV4" s="182">
        <v>36</v>
      </c>
      <c r="CW4" s="182">
        <v>38</v>
      </c>
      <c r="CX4" s="182">
        <v>45</v>
      </c>
      <c r="CY4" s="182">
        <v>49</v>
      </c>
      <c r="CZ4" s="182">
        <v>86</v>
      </c>
      <c r="DA4" s="182" t="s">
        <v>14</v>
      </c>
      <c r="DB4" s="183" t="s">
        <v>1</v>
      </c>
      <c r="DC4" s="184">
        <v>34</v>
      </c>
      <c r="DD4" s="182">
        <v>36</v>
      </c>
      <c r="DE4" s="182">
        <v>38</v>
      </c>
      <c r="DF4" s="182">
        <v>45</v>
      </c>
      <c r="DG4" s="182">
        <v>49</v>
      </c>
      <c r="DH4" s="182">
        <v>86</v>
      </c>
      <c r="DI4" s="182" t="s">
        <v>14</v>
      </c>
      <c r="DJ4" s="183" t="s">
        <v>1</v>
      </c>
      <c r="DK4" s="184">
        <v>34</v>
      </c>
      <c r="DL4" s="182">
        <v>36</v>
      </c>
      <c r="DM4" s="182">
        <v>38</v>
      </c>
      <c r="DN4" s="182">
        <v>45</v>
      </c>
      <c r="DO4" s="182">
        <v>49</v>
      </c>
      <c r="DP4" s="182">
        <v>86</v>
      </c>
      <c r="DQ4" s="182" t="s">
        <v>14</v>
      </c>
      <c r="DR4" s="183" t="s">
        <v>1</v>
      </c>
      <c r="DS4" s="184">
        <v>34</v>
      </c>
      <c r="DT4" s="182">
        <v>36</v>
      </c>
      <c r="DU4" s="182">
        <v>38</v>
      </c>
      <c r="DV4" s="182">
        <v>45</v>
      </c>
      <c r="DW4" s="182">
        <v>49</v>
      </c>
      <c r="DX4" s="182">
        <v>86</v>
      </c>
      <c r="DY4" s="182" t="s">
        <v>14</v>
      </c>
      <c r="DZ4" s="183" t="s">
        <v>1</v>
      </c>
      <c r="EA4" s="184">
        <v>34</v>
      </c>
      <c r="EB4" s="182">
        <v>36</v>
      </c>
      <c r="EC4" s="182">
        <v>38</v>
      </c>
      <c r="ED4" s="182">
        <v>45</v>
      </c>
      <c r="EE4" s="182">
        <v>49</v>
      </c>
      <c r="EF4" s="182">
        <v>86</v>
      </c>
      <c r="EG4" s="182" t="s">
        <v>14</v>
      </c>
      <c r="EH4" s="183" t="s">
        <v>1</v>
      </c>
    </row>
    <row r="5" spans="1:138" ht="15" x14ac:dyDescent="0.25">
      <c r="A5" s="202" t="s">
        <v>1</v>
      </c>
      <c r="B5" s="203">
        <f t="shared" ref="B5:H5" si="0">SUM(B6:B50)</f>
        <v>0</v>
      </c>
      <c r="C5" s="203">
        <f t="shared" si="0"/>
        <v>0</v>
      </c>
      <c r="D5" s="203">
        <f t="shared" si="0"/>
        <v>0</v>
      </c>
      <c r="E5" s="203">
        <f t="shared" si="0"/>
        <v>0</v>
      </c>
      <c r="F5" s="203">
        <f t="shared" si="0"/>
        <v>0</v>
      </c>
      <c r="G5" s="203">
        <f t="shared" si="0"/>
        <v>0</v>
      </c>
      <c r="H5" s="203">
        <f t="shared" si="0"/>
        <v>67</v>
      </c>
      <c r="I5" s="204">
        <f>SUM(B5:H5)</f>
        <v>67</v>
      </c>
      <c r="J5" s="158"/>
      <c r="K5" s="179">
        <f t="shared" ref="K5:Q5" si="1">SUM(K6:K50)</f>
        <v>0</v>
      </c>
      <c r="L5" s="166">
        <f t="shared" si="1"/>
        <v>0</v>
      </c>
      <c r="M5" s="166">
        <f t="shared" si="1"/>
        <v>0</v>
      </c>
      <c r="N5" s="166">
        <f t="shared" si="1"/>
        <v>0</v>
      </c>
      <c r="O5" s="166">
        <f t="shared" si="1"/>
        <v>0</v>
      </c>
      <c r="P5" s="166">
        <f t="shared" si="1"/>
        <v>0</v>
      </c>
      <c r="Q5" s="166">
        <f t="shared" si="1"/>
        <v>67</v>
      </c>
      <c r="R5" s="180">
        <f>SUM(K5:Q5)</f>
        <v>67</v>
      </c>
      <c r="S5" s="185">
        <f t="shared" ref="S5:Y5" si="2">SUM(S6:S50)</f>
        <v>0</v>
      </c>
      <c r="T5" s="166">
        <f t="shared" si="2"/>
        <v>0</v>
      </c>
      <c r="U5" s="166">
        <f t="shared" si="2"/>
        <v>0</v>
      </c>
      <c r="V5" s="166">
        <f t="shared" si="2"/>
        <v>0</v>
      </c>
      <c r="W5" s="166">
        <f t="shared" si="2"/>
        <v>0</v>
      </c>
      <c r="X5" s="166">
        <f t="shared" si="2"/>
        <v>0</v>
      </c>
      <c r="Y5" s="166">
        <f t="shared" si="2"/>
        <v>0</v>
      </c>
      <c r="Z5" s="180">
        <f>SUM(S5:Y5)</f>
        <v>0</v>
      </c>
      <c r="AA5" s="185">
        <f t="shared" ref="AA5:AG5" si="3">SUM(AA6:AA50)</f>
        <v>0</v>
      </c>
      <c r="AB5" s="166">
        <f t="shared" si="3"/>
        <v>0</v>
      </c>
      <c r="AC5" s="166">
        <f t="shared" si="3"/>
        <v>0</v>
      </c>
      <c r="AD5" s="166">
        <f t="shared" si="3"/>
        <v>0</v>
      </c>
      <c r="AE5" s="166">
        <f t="shared" si="3"/>
        <v>0</v>
      </c>
      <c r="AF5" s="166">
        <f t="shared" si="3"/>
        <v>0</v>
      </c>
      <c r="AG5" s="166">
        <f t="shared" si="3"/>
        <v>0</v>
      </c>
      <c r="AH5" s="180">
        <f>SUM(AA5:AG5)</f>
        <v>0</v>
      </c>
      <c r="AI5" s="185">
        <f t="shared" ref="AI5:BN5" si="4">SUM(AI6:AI50)</f>
        <v>0</v>
      </c>
      <c r="AJ5" s="166">
        <f t="shared" si="4"/>
        <v>0</v>
      </c>
      <c r="AK5" s="166">
        <f t="shared" si="4"/>
        <v>0</v>
      </c>
      <c r="AL5" s="166">
        <f t="shared" si="4"/>
        <v>0</v>
      </c>
      <c r="AM5" s="166">
        <f t="shared" si="4"/>
        <v>0</v>
      </c>
      <c r="AN5" s="166">
        <f t="shared" si="4"/>
        <v>0</v>
      </c>
      <c r="AO5" s="166">
        <f t="shared" si="4"/>
        <v>0</v>
      </c>
      <c r="AP5" s="180">
        <f t="shared" si="4"/>
        <v>0</v>
      </c>
      <c r="AQ5" s="185">
        <f t="shared" si="4"/>
        <v>0</v>
      </c>
      <c r="AR5" s="166">
        <f t="shared" si="4"/>
        <v>0</v>
      </c>
      <c r="AS5" s="166">
        <f t="shared" si="4"/>
        <v>0</v>
      </c>
      <c r="AT5" s="166">
        <f t="shared" si="4"/>
        <v>0</v>
      </c>
      <c r="AU5" s="166">
        <f t="shared" si="4"/>
        <v>0</v>
      </c>
      <c r="AV5" s="166">
        <f t="shared" si="4"/>
        <v>0</v>
      </c>
      <c r="AW5" s="166">
        <f t="shared" si="4"/>
        <v>0</v>
      </c>
      <c r="AX5" s="180">
        <f t="shared" si="4"/>
        <v>0</v>
      </c>
      <c r="AY5" s="185">
        <f t="shared" si="4"/>
        <v>0</v>
      </c>
      <c r="AZ5" s="166">
        <f t="shared" si="4"/>
        <v>0</v>
      </c>
      <c r="BA5" s="166">
        <f t="shared" si="4"/>
        <v>0</v>
      </c>
      <c r="BB5" s="166">
        <f t="shared" si="4"/>
        <v>0</v>
      </c>
      <c r="BC5" s="166">
        <f t="shared" si="4"/>
        <v>0</v>
      </c>
      <c r="BD5" s="166">
        <f t="shared" si="4"/>
        <v>0</v>
      </c>
      <c r="BE5" s="166">
        <f t="shared" si="4"/>
        <v>0</v>
      </c>
      <c r="BF5" s="180">
        <f t="shared" si="4"/>
        <v>0</v>
      </c>
      <c r="BG5" s="185">
        <f t="shared" si="4"/>
        <v>0</v>
      </c>
      <c r="BH5" s="166">
        <f t="shared" si="4"/>
        <v>0</v>
      </c>
      <c r="BI5" s="166">
        <f t="shared" si="4"/>
        <v>0</v>
      </c>
      <c r="BJ5" s="166">
        <f t="shared" si="4"/>
        <v>0</v>
      </c>
      <c r="BK5" s="166">
        <f t="shared" si="4"/>
        <v>0</v>
      </c>
      <c r="BL5" s="166">
        <f t="shared" si="4"/>
        <v>0</v>
      </c>
      <c r="BM5" s="166">
        <f t="shared" si="4"/>
        <v>0</v>
      </c>
      <c r="BN5" s="180">
        <f t="shared" si="4"/>
        <v>0</v>
      </c>
      <c r="BO5" s="185">
        <f t="shared" ref="BO5:CT5" si="5">SUM(BO6:BO50)</f>
        <v>0</v>
      </c>
      <c r="BP5" s="166">
        <f t="shared" si="5"/>
        <v>0</v>
      </c>
      <c r="BQ5" s="166">
        <f t="shared" si="5"/>
        <v>0</v>
      </c>
      <c r="BR5" s="166">
        <f t="shared" si="5"/>
        <v>0</v>
      </c>
      <c r="BS5" s="166">
        <f t="shared" si="5"/>
        <v>0</v>
      </c>
      <c r="BT5" s="166">
        <f t="shared" si="5"/>
        <v>0</v>
      </c>
      <c r="BU5" s="166">
        <f t="shared" si="5"/>
        <v>0</v>
      </c>
      <c r="BV5" s="180">
        <f t="shared" si="5"/>
        <v>0</v>
      </c>
      <c r="BW5" s="185">
        <f t="shared" si="5"/>
        <v>0</v>
      </c>
      <c r="BX5" s="166">
        <f t="shared" si="5"/>
        <v>0</v>
      </c>
      <c r="BY5" s="166">
        <f t="shared" si="5"/>
        <v>0</v>
      </c>
      <c r="BZ5" s="166">
        <f t="shared" si="5"/>
        <v>0</v>
      </c>
      <c r="CA5" s="166">
        <f t="shared" si="5"/>
        <v>0</v>
      </c>
      <c r="CB5" s="166">
        <f t="shared" si="5"/>
        <v>0</v>
      </c>
      <c r="CC5" s="166">
        <f t="shared" si="5"/>
        <v>0</v>
      </c>
      <c r="CD5" s="180">
        <f t="shared" si="5"/>
        <v>0</v>
      </c>
      <c r="CE5" s="185">
        <f t="shared" si="5"/>
        <v>0</v>
      </c>
      <c r="CF5" s="166">
        <f t="shared" si="5"/>
        <v>0</v>
      </c>
      <c r="CG5" s="166">
        <f t="shared" si="5"/>
        <v>0</v>
      </c>
      <c r="CH5" s="166">
        <f t="shared" si="5"/>
        <v>0</v>
      </c>
      <c r="CI5" s="166">
        <f t="shared" si="5"/>
        <v>0</v>
      </c>
      <c r="CJ5" s="166">
        <f t="shared" si="5"/>
        <v>0</v>
      </c>
      <c r="CK5" s="166">
        <f t="shared" si="5"/>
        <v>0</v>
      </c>
      <c r="CL5" s="180">
        <f t="shared" si="5"/>
        <v>0</v>
      </c>
      <c r="CM5" s="185">
        <f t="shared" si="5"/>
        <v>0</v>
      </c>
      <c r="CN5" s="166">
        <f t="shared" si="5"/>
        <v>0</v>
      </c>
      <c r="CO5" s="166">
        <f t="shared" si="5"/>
        <v>0</v>
      </c>
      <c r="CP5" s="166">
        <f t="shared" si="5"/>
        <v>0</v>
      </c>
      <c r="CQ5" s="166">
        <f t="shared" si="5"/>
        <v>0</v>
      </c>
      <c r="CR5" s="166">
        <f t="shared" si="5"/>
        <v>0</v>
      </c>
      <c r="CS5" s="166">
        <f t="shared" si="5"/>
        <v>0</v>
      </c>
      <c r="CT5" s="180">
        <f t="shared" si="5"/>
        <v>0</v>
      </c>
      <c r="CU5" s="185">
        <f t="shared" ref="CU5:DZ5" si="6">SUM(CU6:CU50)</f>
        <v>0</v>
      </c>
      <c r="CV5" s="166">
        <f t="shared" si="6"/>
        <v>0</v>
      </c>
      <c r="CW5" s="166">
        <f t="shared" si="6"/>
        <v>0</v>
      </c>
      <c r="CX5" s="166">
        <f t="shared" si="6"/>
        <v>0</v>
      </c>
      <c r="CY5" s="166">
        <f t="shared" si="6"/>
        <v>0</v>
      </c>
      <c r="CZ5" s="166">
        <f t="shared" si="6"/>
        <v>0</v>
      </c>
      <c r="DA5" s="166">
        <f t="shared" si="6"/>
        <v>0</v>
      </c>
      <c r="DB5" s="180">
        <f t="shared" si="6"/>
        <v>0</v>
      </c>
      <c r="DC5" s="185">
        <f t="shared" si="6"/>
        <v>0</v>
      </c>
      <c r="DD5" s="166">
        <f t="shared" si="6"/>
        <v>0</v>
      </c>
      <c r="DE5" s="166">
        <f t="shared" si="6"/>
        <v>0</v>
      </c>
      <c r="DF5" s="166">
        <f t="shared" si="6"/>
        <v>0</v>
      </c>
      <c r="DG5" s="166">
        <f t="shared" si="6"/>
        <v>0</v>
      </c>
      <c r="DH5" s="166">
        <f t="shared" si="6"/>
        <v>0</v>
      </c>
      <c r="DI5" s="166">
        <f t="shared" si="6"/>
        <v>0</v>
      </c>
      <c r="DJ5" s="180">
        <f t="shared" si="6"/>
        <v>0</v>
      </c>
      <c r="DK5" s="185">
        <f t="shared" si="6"/>
        <v>0</v>
      </c>
      <c r="DL5" s="166">
        <f t="shared" si="6"/>
        <v>0</v>
      </c>
      <c r="DM5" s="166">
        <f t="shared" si="6"/>
        <v>0</v>
      </c>
      <c r="DN5" s="166">
        <f t="shared" si="6"/>
        <v>0</v>
      </c>
      <c r="DO5" s="166">
        <f t="shared" si="6"/>
        <v>0</v>
      </c>
      <c r="DP5" s="166">
        <f t="shared" si="6"/>
        <v>0</v>
      </c>
      <c r="DQ5" s="166">
        <f t="shared" si="6"/>
        <v>0</v>
      </c>
      <c r="DR5" s="180">
        <f t="shared" si="6"/>
        <v>0</v>
      </c>
      <c r="DS5" s="185">
        <f t="shared" si="6"/>
        <v>0</v>
      </c>
      <c r="DT5" s="166">
        <f t="shared" si="6"/>
        <v>0</v>
      </c>
      <c r="DU5" s="166">
        <f t="shared" si="6"/>
        <v>0</v>
      </c>
      <c r="DV5" s="166">
        <f t="shared" si="6"/>
        <v>0</v>
      </c>
      <c r="DW5" s="166">
        <f t="shared" si="6"/>
        <v>0</v>
      </c>
      <c r="DX5" s="166">
        <f t="shared" si="6"/>
        <v>0</v>
      </c>
      <c r="DY5" s="166">
        <f t="shared" si="6"/>
        <v>0</v>
      </c>
      <c r="DZ5" s="180">
        <f t="shared" si="6"/>
        <v>0</v>
      </c>
      <c r="EA5" s="185">
        <f t="shared" ref="EA5:EG5" si="7">SUM(EA6:EA50)</f>
        <v>0</v>
      </c>
      <c r="EB5" s="166">
        <f t="shared" si="7"/>
        <v>0</v>
      </c>
      <c r="EC5" s="166">
        <f t="shared" si="7"/>
        <v>0</v>
      </c>
      <c r="ED5" s="166">
        <f t="shared" si="7"/>
        <v>0</v>
      </c>
      <c r="EE5" s="166">
        <f t="shared" si="7"/>
        <v>0</v>
      </c>
      <c r="EF5" s="166">
        <f t="shared" si="7"/>
        <v>0</v>
      </c>
      <c r="EG5" s="166">
        <f t="shared" si="7"/>
        <v>0</v>
      </c>
      <c r="EH5" s="180">
        <f>SUM(EA5:EG5)</f>
        <v>0</v>
      </c>
    </row>
    <row r="6" spans="1:138" ht="15" x14ac:dyDescent="0.2">
      <c r="A6" s="198">
        <v>44308</v>
      </c>
      <c r="B6" s="199">
        <f t="shared" ref="B6:H8" si="8">K6+S6+AA6+AI6+AQ6+AY6+BG6+BO6+BW6+CE6+CM6+CU6+DC6+DK6+DS6+EA6</f>
        <v>0</v>
      </c>
      <c r="C6" s="200">
        <f t="shared" si="8"/>
        <v>0</v>
      </c>
      <c r="D6" s="199">
        <f t="shared" si="8"/>
        <v>0</v>
      </c>
      <c r="E6" s="200">
        <f t="shared" si="8"/>
        <v>0</v>
      </c>
      <c r="F6" s="199">
        <f t="shared" si="8"/>
        <v>0</v>
      </c>
      <c r="G6" s="200">
        <f t="shared" si="8"/>
        <v>0</v>
      </c>
      <c r="H6" s="199">
        <f t="shared" si="8"/>
        <v>0</v>
      </c>
      <c r="I6" s="201">
        <f>SUM(B6:H6)</f>
        <v>0</v>
      </c>
      <c r="J6" s="159"/>
      <c r="K6" s="167">
        <v>0</v>
      </c>
      <c r="L6" s="83">
        <v>0</v>
      </c>
      <c r="M6" s="83">
        <v>0</v>
      </c>
      <c r="N6" s="83">
        <v>0</v>
      </c>
      <c r="O6" s="83">
        <v>0</v>
      </c>
      <c r="P6" s="83">
        <v>0</v>
      </c>
      <c r="Q6" s="83">
        <v>0</v>
      </c>
      <c r="R6" s="190">
        <f>SUM(K6:Q6)</f>
        <v>0</v>
      </c>
      <c r="S6" s="186">
        <v>0</v>
      </c>
      <c r="T6" s="83">
        <v>0</v>
      </c>
      <c r="U6" s="83">
        <v>0</v>
      </c>
      <c r="V6" s="83">
        <v>0</v>
      </c>
      <c r="W6" s="83">
        <v>0</v>
      </c>
      <c r="X6" s="83">
        <v>0</v>
      </c>
      <c r="Y6" s="83">
        <v>0</v>
      </c>
      <c r="Z6" s="190">
        <f>SUM(S6:Y6)</f>
        <v>0</v>
      </c>
      <c r="AA6" s="186">
        <v>0</v>
      </c>
      <c r="AB6" s="83">
        <v>0</v>
      </c>
      <c r="AC6" s="83">
        <v>0</v>
      </c>
      <c r="AD6" s="83">
        <v>0</v>
      </c>
      <c r="AE6" s="83">
        <v>0</v>
      </c>
      <c r="AF6" s="83">
        <v>0</v>
      </c>
      <c r="AG6" s="83">
        <v>0</v>
      </c>
      <c r="AH6" s="190">
        <f>SUM(AA6:AG6)</f>
        <v>0</v>
      </c>
      <c r="AI6" s="189"/>
      <c r="AJ6" s="168"/>
      <c r="AK6" s="168"/>
      <c r="AL6" s="168"/>
      <c r="AM6" s="168"/>
      <c r="AN6" s="168"/>
      <c r="AO6" s="168"/>
      <c r="AP6" s="169">
        <f>SUM(AI6:AO6)</f>
        <v>0</v>
      </c>
      <c r="AQ6" s="189"/>
      <c r="AR6" s="168"/>
      <c r="AS6" s="168"/>
      <c r="AT6" s="168"/>
      <c r="AU6" s="168"/>
      <c r="AV6" s="168"/>
      <c r="AW6" s="168"/>
      <c r="AX6" s="169">
        <f>SUM(AQ6:AW6)</f>
        <v>0</v>
      </c>
      <c r="AY6" s="189"/>
      <c r="AZ6" s="168"/>
      <c r="BA6" s="168"/>
      <c r="BB6" s="168"/>
      <c r="BC6" s="168"/>
      <c r="BD6" s="168"/>
      <c r="BE6" s="168"/>
      <c r="BF6" s="169">
        <f>SUM(AY6:BE6)</f>
        <v>0</v>
      </c>
      <c r="BG6" s="189"/>
      <c r="BH6" s="168"/>
      <c r="BI6" s="168"/>
      <c r="BJ6" s="168"/>
      <c r="BK6" s="168"/>
      <c r="BL6" s="168"/>
      <c r="BM6" s="168"/>
      <c r="BN6" s="169">
        <f>SUM(BG6:BM6)</f>
        <v>0</v>
      </c>
      <c r="BO6" s="189"/>
      <c r="BP6" s="168"/>
      <c r="BQ6" s="168"/>
      <c r="BR6" s="168"/>
      <c r="BS6" s="168"/>
      <c r="BT6" s="168"/>
      <c r="BU6" s="168"/>
      <c r="BV6" s="169">
        <f>SUM(BO6:BU6)</f>
        <v>0</v>
      </c>
      <c r="BW6" s="189"/>
      <c r="BX6" s="168"/>
      <c r="BY6" s="168"/>
      <c r="BZ6" s="168"/>
      <c r="CA6" s="168"/>
      <c r="CB6" s="168"/>
      <c r="CC6" s="168"/>
      <c r="CD6" s="169">
        <f>SUM(BW6:CC6)</f>
        <v>0</v>
      </c>
      <c r="CE6" s="189"/>
      <c r="CF6" s="168"/>
      <c r="CG6" s="168"/>
      <c r="CH6" s="168"/>
      <c r="CI6" s="168"/>
      <c r="CJ6" s="168"/>
      <c r="CK6" s="168"/>
      <c r="CL6" s="169">
        <f>SUM(CE6:CK6)</f>
        <v>0</v>
      </c>
      <c r="CM6" s="189"/>
      <c r="CN6" s="168"/>
      <c r="CO6" s="168"/>
      <c r="CP6" s="168"/>
      <c r="CQ6" s="168"/>
      <c r="CR6" s="168"/>
      <c r="CS6" s="168"/>
      <c r="CT6" s="169">
        <f>SUM(CM6:CS6)</f>
        <v>0</v>
      </c>
      <c r="CU6" s="189"/>
      <c r="CV6" s="168"/>
      <c r="CW6" s="168"/>
      <c r="CX6" s="168"/>
      <c r="CY6" s="168"/>
      <c r="CZ6" s="168"/>
      <c r="DA6" s="168"/>
      <c r="DB6" s="169">
        <f>SUM(CU6:DA6)</f>
        <v>0</v>
      </c>
      <c r="DC6" s="189"/>
      <c r="DD6" s="168"/>
      <c r="DE6" s="168"/>
      <c r="DF6" s="168"/>
      <c r="DG6" s="168"/>
      <c r="DH6" s="168"/>
      <c r="DI6" s="168"/>
      <c r="DJ6" s="169">
        <f>SUM(DC6:DI6)</f>
        <v>0</v>
      </c>
      <c r="DK6" s="189"/>
      <c r="DL6" s="168"/>
      <c r="DM6" s="168"/>
      <c r="DN6" s="168"/>
      <c r="DO6" s="168"/>
      <c r="DP6" s="168"/>
      <c r="DQ6" s="168"/>
      <c r="DR6" s="169">
        <f>SUM(DK6:DQ6)</f>
        <v>0</v>
      </c>
      <c r="DS6" s="189"/>
      <c r="DT6" s="168"/>
      <c r="DU6" s="168"/>
      <c r="DV6" s="168"/>
      <c r="DW6" s="168"/>
      <c r="DX6" s="168"/>
      <c r="DY6" s="168"/>
      <c r="DZ6" s="169">
        <f>SUM(DS6:DY6)</f>
        <v>0</v>
      </c>
      <c r="EA6" s="189"/>
      <c r="EB6" s="168"/>
      <c r="EC6" s="168"/>
      <c r="ED6" s="168"/>
      <c r="EE6" s="168"/>
      <c r="EF6" s="168"/>
      <c r="EG6" s="168"/>
      <c r="EH6" s="169">
        <f>SUM(EA6:EG6)</f>
        <v>0</v>
      </c>
    </row>
    <row r="7" spans="1:138" ht="15" x14ac:dyDescent="0.2">
      <c r="A7" s="161">
        <v>44309</v>
      </c>
      <c r="B7" s="83">
        <f t="shared" si="8"/>
        <v>0</v>
      </c>
      <c r="C7" s="149">
        <f t="shared" si="8"/>
        <v>0</v>
      </c>
      <c r="D7" s="83">
        <f t="shared" si="8"/>
        <v>0</v>
      </c>
      <c r="E7" s="149">
        <f t="shared" si="8"/>
        <v>0</v>
      </c>
      <c r="F7" s="83">
        <f t="shared" si="8"/>
        <v>0</v>
      </c>
      <c r="G7" s="149">
        <f t="shared" si="8"/>
        <v>0</v>
      </c>
      <c r="H7" s="83">
        <f t="shared" si="8"/>
        <v>67</v>
      </c>
      <c r="I7" s="160">
        <f>SUM(B7:H7)</f>
        <v>67</v>
      </c>
      <c r="J7" s="159"/>
      <c r="K7" s="170">
        <v>0</v>
      </c>
      <c r="L7" s="171">
        <v>0</v>
      </c>
      <c r="M7" s="171">
        <v>0</v>
      </c>
      <c r="N7" s="171">
        <v>0</v>
      </c>
      <c r="O7" s="171">
        <v>0</v>
      </c>
      <c r="P7" s="171">
        <v>0</v>
      </c>
      <c r="Q7" s="171">
        <v>67</v>
      </c>
      <c r="R7" s="190">
        <f>SUM(K7:Q7)</f>
        <v>67</v>
      </c>
      <c r="S7" s="84">
        <v>0</v>
      </c>
      <c r="T7" s="171">
        <v>0</v>
      </c>
      <c r="U7" s="171">
        <v>0</v>
      </c>
      <c r="V7" s="171">
        <v>0</v>
      </c>
      <c r="W7" s="171">
        <v>0</v>
      </c>
      <c r="X7" s="171">
        <v>0</v>
      </c>
      <c r="Y7" s="171">
        <v>0</v>
      </c>
      <c r="Z7" s="190">
        <f>SUM(S7:Y7)</f>
        <v>0</v>
      </c>
      <c r="AA7" s="186">
        <v>0</v>
      </c>
      <c r="AB7" s="83">
        <v>0</v>
      </c>
      <c r="AC7" s="83">
        <v>0</v>
      </c>
      <c r="AD7" s="83">
        <v>0</v>
      </c>
      <c r="AE7" s="83">
        <v>0</v>
      </c>
      <c r="AF7" s="83">
        <v>0</v>
      </c>
      <c r="AG7" s="171">
        <v>0</v>
      </c>
      <c r="AH7" s="190">
        <f>SUM(AA7:AG7)</f>
        <v>0</v>
      </c>
      <c r="AI7" s="85"/>
      <c r="AJ7" s="69"/>
      <c r="AK7" s="69"/>
      <c r="AL7" s="69"/>
      <c r="AM7" s="69"/>
      <c r="AN7" s="69"/>
      <c r="AO7" s="69"/>
      <c r="AP7" s="169">
        <f>SUM(AI7:AO7)</f>
        <v>0</v>
      </c>
      <c r="AQ7" s="85"/>
      <c r="AR7" s="69"/>
      <c r="AS7" s="69"/>
      <c r="AT7" s="69"/>
      <c r="AU7" s="69"/>
      <c r="AV7" s="69"/>
      <c r="AW7" s="69"/>
      <c r="AX7" s="169">
        <f>SUM(AQ7:AW7)</f>
        <v>0</v>
      </c>
      <c r="AY7" s="85"/>
      <c r="AZ7" s="69"/>
      <c r="BA7" s="69"/>
      <c r="BB7" s="69"/>
      <c r="BC7" s="69"/>
      <c r="BD7" s="69"/>
      <c r="BE7" s="69"/>
      <c r="BF7" s="169">
        <f>SUM(AY7:BE7)</f>
        <v>0</v>
      </c>
      <c r="BG7" s="85"/>
      <c r="BH7" s="69"/>
      <c r="BI7" s="69"/>
      <c r="BJ7" s="69"/>
      <c r="BK7" s="69"/>
      <c r="BL7" s="69"/>
      <c r="BM7" s="69"/>
      <c r="BN7" s="169">
        <f>SUM(BG7:BM7)</f>
        <v>0</v>
      </c>
      <c r="BO7" s="85"/>
      <c r="BP7" s="69"/>
      <c r="BQ7" s="69"/>
      <c r="BR7" s="69"/>
      <c r="BS7" s="69"/>
      <c r="BT7" s="69"/>
      <c r="BU7" s="69"/>
      <c r="BV7" s="169">
        <f>SUM(BO7:BU7)</f>
        <v>0</v>
      </c>
      <c r="BW7" s="85"/>
      <c r="BX7" s="69"/>
      <c r="BY7" s="69"/>
      <c r="BZ7" s="69"/>
      <c r="CA7" s="69"/>
      <c r="CB7" s="69"/>
      <c r="CC7" s="69"/>
      <c r="CD7" s="169">
        <f>SUM(BW7:CC7)</f>
        <v>0</v>
      </c>
      <c r="CE7" s="85"/>
      <c r="CF7" s="69"/>
      <c r="CG7" s="69"/>
      <c r="CH7" s="69"/>
      <c r="CI7" s="69"/>
      <c r="CJ7" s="69"/>
      <c r="CK7" s="69"/>
      <c r="CL7" s="169">
        <f>SUM(CE7:CK7)</f>
        <v>0</v>
      </c>
      <c r="CM7" s="85"/>
      <c r="CN7" s="69"/>
      <c r="CO7" s="69"/>
      <c r="CP7" s="69"/>
      <c r="CQ7" s="69"/>
      <c r="CR7" s="69"/>
      <c r="CS7" s="69"/>
      <c r="CT7" s="169">
        <f>SUM(CM7:CS7)</f>
        <v>0</v>
      </c>
      <c r="CU7" s="85"/>
      <c r="CV7" s="69"/>
      <c r="CW7" s="69"/>
      <c r="CX7" s="69"/>
      <c r="CY7" s="69"/>
      <c r="CZ7" s="69"/>
      <c r="DA7" s="69"/>
      <c r="DB7" s="169">
        <f>SUM(CU7:DA7)</f>
        <v>0</v>
      </c>
      <c r="DC7" s="85"/>
      <c r="DD7" s="69"/>
      <c r="DE7" s="69"/>
      <c r="DF7" s="69"/>
      <c r="DG7" s="69"/>
      <c r="DH7" s="69"/>
      <c r="DI7" s="69"/>
      <c r="DJ7" s="169">
        <f>SUM(DC7:DI7)</f>
        <v>0</v>
      </c>
      <c r="DK7" s="85"/>
      <c r="DL7" s="69"/>
      <c r="DM7" s="69"/>
      <c r="DN7" s="69"/>
      <c r="DO7" s="69"/>
      <c r="DP7" s="69"/>
      <c r="DQ7" s="69"/>
      <c r="DR7" s="169">
        <f>SUM(DK7:DQ7)</f>
        <v>0</v>
      </c>
      <c r="DS7" s="85"/>
      <c r="DT7" s="69"/>
      <c r="DU7" s="69"/>
      <c r="DV7" s="69"/>
      <c r="DW7" s="69"/>
      <c r="DX7" s="69"/>
      <c r="DY7" s="69"/>
      <c r="DZ7" s="169">
        <f>SUM(DS7:DY7)</f>
        <v>0</v>
      </c>
      <c r="EA7" s="85"/>
      <c r="EB7" s="69"/>
      <c r="EC7" s="69"/>
      <c r="ED7" s="69"/>
      <c r="EE7" s="69"/>
      <c r="EF7" s="69"/>
      <c r="EG7" s="69"/>
      <c r="EH7" s="172">
        <f>SUM(EA7:EG7)</f>
        <v>0</v>
      </c>
    </row>
    <row r="8" spans="1:138" ht="15" x14ac:dyDescent="0.2">
      <c r="A8" s="162">
        <v>44310</v>
      </c>
      <c r="B8" s="70">
        <f t="shared" si="8"/>
        <v>0</v>
      </c>
      <c r="C8" s="150">
        <f t="shared" si="8"/>
        <v>0</v>
      </c>
      <c r="D8" s="70">
        <f t="shared" si="8"/>
        <v>0</v>
      </c>
      <c r="E8" s="150">
        <f t="shared" si="8"/>
        <v>0</v>
      </c>
      <c r="F8" s="70">
        <f t="shared" si="8"/>
        <v>0</v>
      </c>
      <c r="G8" s="150">
        <f t="shared" si="8"/>
        <v>0</v>
      </c>
      <c r="H8" s="70">
        <f t="shared" si="8"/>
        <v>0</v>
      </c>
      <c r="I8" s="163">
        <f>SUM(B8:H8)</f>
        <v>0</v>
      </c>
      <c r="J8" s="50"/>
      <c r="K8" s="105"/>
      <c r="L8" s="68"/>
      <c r="M8" s="68"/>
      <c r="N8" s="68"/>
      <c r="O8" s="68"/>
      <c r="P8" s="68"/>
      <c r="Q8" s="68"/>
      <c r="R8" s="172">
        <f>SUM(K8:Q8)</f>
        <v>0</v>
      </c>
      <c r="S8" s="71"/>
      <c r="T8" s="68"/>
      <c r="U8" s="68"/>
      <c r="V8" s="68"/>
      <c r="W8" s="68"/>
      <c r="X8" s="68"/>
      <c r="Y8" s="68"/>
      <c r="Z8" s="172">
        <f>SUM(S8:Y8)</f>
        <v>0</v>
      </c>
      <c r="AA8" s="71"/>
      <c r="AB8" s="68"/>
      <c r="AC8" s="68"/>
      <c r="AD8" s="68"/>
      <c r="AE8" s="68"/>
      <c r="AF8" s="68"/>
      <c r="AG8" s="68"/>
      <c r="AH8" s="190">
        <f>SUM(AA8:AG8)</f>
        <v>0</v>
      </c>
      <c r="AI8" s="85"/>
      <c r="AJ8" s="69"/>
      <c r="AK8" s="69"/>
      <c r="AL8" s="69"/>
      <c r="AM8" s="69"/>
      <c r="AN8" s="69"/>
      <c r="AO8" s="69"/>
      <c r="AP8" s="169">
        <f>SUM(AI8:AO8)</f>
        <v>0</v>
      </c>
      <c r="AQ8" s="85"/>
      <c r="AR8" s="69"/>
      <c r="AS8" s="69"/>
      <c r="AT8" s="69"/>
      <c r="AU8" s="69"/>
      <c r="AV8" s="69"/>
      <c r="AW8" s="69"/>
      <c r="AX8" s="169">
        <f>SUM(AQ8:AW8)</f>
        <v>0</v>
      </c>
      <c r="AY8" s="85"/>
      <c r="AZ8" s="69"/>
      <c r="BA8" s="69"/>
      <c r="BB8" s="69"/>
      <c r="BC8" s="69"/>
      <c r="BD8" s="69"/>
      <c r="BE8" s="69"/>
      <c r="BF8" s="169">
        <f>SUM(AY8:BE8)</f>
        <v>0</v>
      </c>
      <c r="BG8" s="85"/>
      <c r="BH8" s="69"/>
      <c r="BI8" s="69"/>
      <c r="BJ8" s="69"/>
      <c r="BK8" s="69"/>
      <c r="BL8" s="69"/>
      <c r="BM8" s="69"/>
      <c r="BN8" s="169">
        <f>SUM(BG8:BM8)</f>
        <v>0</v>
      </c>
      <c r="BO8" s="85"/>
      <c r="BP8" s="69"/>
      <c r="BQ8" s="69"/>
      <c r="BR8" s="69"/>
      <c r="BS8" s="69"/>
      <c r="BT8" s="69"/>
      <c r="BU8" s="69"/>
      <c r="BV8" s="169">
        <f>SUM(BO8:BU8)</f>
        <v>0</v>
      </c>
      <c r="BW8" s="85"/>
      <c r="BX8" s="69"/>
      <c r="BY8" s="69"/>
      <c r="BZ8" s="69"/>
      <c r="CA8" s="69"/>
      <c r="CB8" s="69"/>
      <c r="CC8" s="69"/>
      <c r="CD8" s="169">
        <f>SUM(BW8:CC8)</f>
        <v>0</v>
      </c>
      <c r="CE8" s="85"/>
      <c r="CF8" s="69"/>
      <c r="CG8" s="69"/>
      <c r="CH8" s="69"/>
      <c r="CI8" s="69"/>
      <c r="CJ8" s="69"/>
      <c r="CK8" s="69"/>
      <c r="CL8" s="169">
        <f>SUM(CE8:CK8)</f>
        <v>0</v>
      </c>
      <c r="CM8" s="85"/>
      <c r="CN8" s="69"/>
      <c r="CO8" s="69"/>
      <c r="CP8" s="69"/>
      <c r="CQ8" s="69"/>
      <c r="CR8" s="69"/>
      <c r="CS8" s="69"/>
      <c r="CT8" s="169">
        <f>SUM(CM8:CS8)</f>
        <v>0</v>
      </c>
      <c r="CU8" s="85"/>
      <c r="CV8" s="69"/>
      <c r="CW8" s="69"/>
      <c r="CX8" s="69"/>
      <c r="CY8" s="69"/>
      <c r="CZ8" s="69"/>
      <c r="DA8" s="69"/>
      <c r="DB8" s="169">
        <f>SUM(CU8:DA8)</f>
        <v>0</v>
      </c>
      <c r="DC8" s="85"/>
      <c r="DD8" s="69"/>
      <c r="DE8" s="69"/>
      <c r="DF8" s="69"/>
      <c r="DG8" s="69"/>
      <c r="DH8" s="69"/>
      <c r="DI8" s="69"/>
      <c r="DJ8" s="169">
        <f>SUM(DC8:DI8)</f>
        <v>0</v>
      </c>
      <c r="DK8" s="85"/>
      <c r="DL8" s="69"/>
      <c r="DM8" s="69"/>
      <c r="DN8" s="69"/>
      <c r="DO8" s="69"/>
      <c r="DP8" s="69"/>
      <c r="DQ8" s="69"/>
      <c r="DR8" s="169">
        <f>SUM(DK8:DQ8)</f>
        <v>0</v>
      </c>
      <c r="DS8" s="85"/>
      <c r="DT8" s="69"/>
      <c r="DU8" s="69"/>
      <c r="DV8" s="69"/>
      <c r="DW8" s="69"/>
      <c r="DX8" s="69"/>
      <c r="DY8" s="69"/>
      <c r="DZ8" s="169">
        <f>SUM(DS8:DY8)</f>
        <v>0</v>
      </c>
      <c r="EA8" s="85"/>
      <c r="EB8" s="69"/>
      <c r="EC8" s="69"/>
      <c r="ED8" s="69"/>
      <c r="EE8" s="69"/>
      <c r="EF8" s="69"/>
      <c r="EG8" s="69"/>
      <c r="EH8" s="172">
        <f>SUM(EA8:EG8)</f>
        <v>0</v>
      </c>
    </row>
    <row r="9" spans="1:138" ht="15" x14ac:dyDescent="0.2">
      <c r="A9" s="164">
        <v>44311</v>
      </c>
      <c r="B9" s="69"/>
      <c r="C9" s="69"/>
      <c r="D9" s="69"/>
      <c r="E9" s="69"/>
      <c r="F9" s="69"/>
      <c r="G9" s="69"/>
      <c r="H9" s="69"/>
      <c r="I9" s="69"/>
      <c r="J9" s="50"/>
      <c r="K9" s="173"/>
      <c r="L9" s="69"/>
      <c r="M9" s="69"/>
      <c r="N9" s="69"/>
      <c r="O9" s="69"/>
      <c r="P9" s="69"/>
      <c r="Q9" s="69"/>
      <c r="R9" s="174"/>
      <c r="S9" s="85"/>
      <c r="T9" s="69"/>
      <c r="U9" s="69"/>
      <c r="V9" s="69"/>
      <c r="W9" s="69"/>
      <c r="X9" s="69"/>
      <c r="Y9" s="69"/>
      <c r="Z9" s="174"/>
      <c r="AA9" s="85"/>
      <c r="AB9" s="69"/>
      <c r="AC9" s="69"/>
      <c r="AD9" s="69"/>
      <c r="AE9" s="69"/>
      <c r="AF9" s="69"/>
      <c r="AG9" s="69"/>
      <c r="AH9" s="174"/>
      <c r="AI9" s="85"/>
      <c r="AJ9" s="69"/>
      <c r="AK9" s="69"/>
      <c r="AL9" s="69"/>
      <c r="AM9" s="69"/>
      <c r="AN9" s="69"/>
      <c r="AO9" s="69"/>
      <c r="AP9" s="174"/>
      <c r="AQ9" s="85"/>
      <c r="AR9" s="69"/>
      <c r="AS9" s="69"/>
      <c r="AT9" s="69"/>
      <c r="AU9" s="69"/>
      <c r="AV9" s="69"/>
      <c r="AW9" s="69"/>
      <c r="AX9" s="174"/>
      <c r="AY9" s="85"/>
      <c r="AZ9" s="69"/>
      <c r="BA9" s="69"/>
      <c r="BB9" s="69"/>
      <c r="BC9" s="69"/>
      <c r="BD9" s="69"/>
      <c r="BE9" s="69"/>
      <c r="BF9" s="174"/>
      <c r="BG9" s="85"/>
      <c r="BH9" s="69"/>
      <c r="BI9" s="69"/>
      <c r="BJ9" s="69"/>
      <c r="BK9" s="69"/>
      <c r="BL9" s="69"/>
      <c r="BM9" s="69"/>
      <c r="BN9" s="174"/>
      <c r="BO9" s="85"/>
      <c r="BP9" s="69"/>
      <c r="BQ9" s="69"/>
      <c r="BR9" s="69"/>
      <c r="BS9" s="69"/>
      <c r="BT9" s="69"/>
      <c r="BU9" s="69"/>
      <c r="BV9" s="174"/>
      <c r="BW9" s="85"/>
      <c r="BX9" s="69"/>
      <c r="BY9" s="69"/>
      <c r="BZ9" s="69"/>
      <c r="CA9" s="69"/>
      <c r="CB9" s="69"/>
      <c r="CC9" s="69"/>
      <c r="CD9" s="174"/>
      <c r="CE9" s="85"/>
      <c r="CF9" s="69"/>
      <c r="CG9" s="69"/>
      <c r="CH9" s="69"/>
      <c r="CI9" s="69"/>
      <c r="CJ9" s="69"/>
      <c r="CK9" s="69"/>
      <c r="CL9" s="174"/>
      <c r="CM9" s="85"/>
      <c r="CN9" s="69"/>
      <c r="CO9" s="69"/>
      <c r="CP9" s="69"/>
      <c r="CQ9" s="69"/>
      <c r="CR9" s="69"/>
      <c r="CS9" s="69"/>
      <c r="CT9" s="174"/>
      <c r="CU9" s="85"/>
      <c r="CV9" s="69"/>
      <c r="CW9" s="69"/>
      <c r="CX9" s="69"/>
      <c r="CY9" s="69"/>
      <c r="CZ9" s="69"/>
      <c r="DA9" s="69"/>
      <c r="DB9" s="174"/>
      <c r="DC9" s="85"/>
      <c r="DD9" s="69"/>
      <c r="DE9" s="69"/>
      <c r="DF9" s="69"/>
      <c r="DG9" s="69"/>
      <c r="DH9" s="69"/>
      <c r="DI9" s="69"/>
      <c r="DJ9" s="174"/>
      <c r="DK9" s="85"/>
      <c r="DL9" s="69"/>
      <c r="DM9" s="69"/>
      <c r="DN9" s="69"/>
      <c r="DO9" s="69"/>
      <c r="DP9" s="69"/>
      <c r="DQ9" s="69"/>
      <c r="DR9" s="174"/>
      <c r="DS9" s="85"/>
      <c r="DT9" s="69"/>
      <c r="DU9" s="69"/>
      <c r="DV9" s="69"/>
      <c r="DW9" s="69"/>
      <c r="DX9" s="69"/>
      <c r="DY9" s="69"/>
      <c r="DZ9" s="174"/>
      <c r="EA9" s="85"/>
      <c r="EB9" s="69"/>
      <c r="EC9" s="69"/>
      <c r="ED9" s="69"/>
      <c r="EE9" s="69"/>
      <c r="EF9" s="69"/>
      <c r="EG9" s="69"/>
      <c r="EH9" s="174"/>
    </row>
    <row r="10" spans="1:138" ht="15" x14ac:dyDescent="0.2">
      <c r="A10" s="165">
        <v>44312</v>
      </c>
      <c r="B10" s="70">
        <f t="shared" ref="B10:H15" si="9">K10+S10+AA10+AI10+AQ10+AY10+BG10+BO10+BW10+CE10+CM10+CU10+DC10+DK10+DS10+EA10</f>
        <v>0</v>
      </c>
      <c r="C10" s="150">
        <f t="shared" si="9"/>
        <v>0</v>
      </c>
      <c r="D10" s="70">
        <f t="shared" si="9"/>
        <v>0</v>
      </c>
      <c r="E10" s="150">
        <f t="shared" si="9"/>
        <v>0</v>
      </c>
      <c r="F10" s="70">
        <f t="shared" si="9"/>
        <v>0</v>
      </c>
      <c r="G10" s="150">
        <f t="shared" si="9"/>
        <v>0</v>
      </c>
      <c r="H10" s="70">
        <f t="shared" si="9"/>
        <v>0</v>
      </c>
      <c r="I10" s="163">
        <f t="shared" ref="I10:I15" si="10">SUM(B10:H10)</f>
        <v>0</v>
      </c>
      <c r="J10" s="50"/>
      <c r="K10" s="175"/>
      <c r="L10" s="70"/>
      <c r="M10" s="70"/>
      <c r="N10" s="70"/>
      <c r="O10" s="70"/>
      <c r="P10" s="70"/>
      <c r="Q10" s="70"/>
      <c r="R10" s="172">
        <f t="shared" ref="R10:R15" si="11">SUM(K10:Q10)</f>
        <v>0</v>
      </c>
      <c r="S10" s="187"/>
      <c r="T10" s="70"/>
      <c r="U10" s="70"/>
      <c r="V10" s="70"/>
      <c r="W10" s="70"/>
      <c r="X10" s="70"/>
      <c r="Y10" s="70"/>
      <c r="Z10" s="172">
        <f t="shared" ref="Z10:Z15" si="12">SUM(S10:Y10)</f>
        <v>0</v>
      </c>
      <c r="AA10" s="187"/>
      <c r="AB10" s="70"/>
      <c r="AC10" s="70"/>
      <c r="AD10" s="70"/>
      <c r="AE10" s="70"/>
      <c r="AF10" s="70"/>
      <c r="AG10" s="70"/>
      <c r="AH10" s="172">
        <f t="shared" ref="AH10:AH15" si="13">SUM(AA10:AG10)</f>
        <v>0</v>
      </c>
      <c r="AI10" s="85"/>
      <c r="AJ10" s="69"/>
      <c r="AK10" s="69"/>
      <c r="AL10" s="69"/>
      <c r="AM10" s="69"/>
      <c r="AN10" s="69"/>
      <c r="AO10" s="69"/>
      <c r="AP10" s="172">
        <f t="shared" ref="AP10:AP15" si="14">SUM(AI10:AO10)</f>
        <v>0</v>
      </c>
      <c r="AQ10" s="85"/>
      <c r="AR10" s="69"/>
      <c r="AS10" s="69"/>
      <c r="AT10" s="69"/>
      <c r="AU10" s="69"/>
      <c r="AV10" s="69"/>
      <c r="AW10" s="69"/>
      <c r="AX10" s="172">
        <f t="shared" ref="AX10:AX15" si="15">SUM(AQ10:AW10)</f>
        <v>0</v>
      </c>
      <c r="AY10" s="85"/>
      <c r="AZ10" s="69"/>
      <c r="BA10" s="69"/>
      <c r="BB10" s="69"/>
      <c r="BC10" s="69"/>
      <c r="BD10" s="69"/>
      <c r="BE10" s="69"/>
      <c r="BF10" s="172">
        <f t="shared" ref="BF10:BF15" si="16">SUM(AY10:BE10)</f>
        <v>0</v>
      </c>
      <c r="BG10" s="85"/>
      <c r="BH10" s="69"/>
      <c r="BI10" s="69"/>
      <c r="BJ10" s="69"/>
      <c r="BK10" s="69"/>
      <c r="BL10" s="69"/>
      <c r="BM10" s="69"/>
      <c r="BN10" s="172">
        <f t="shared" ref="BN10:BN15" si="17">SUM(BG10:BM10)</f>
        <v>0</v>
      </c>
      <c r="BO10" s="85"/>
      <c r="BP10" s="69"/>
      <c r="BQ10" s="69"/>
      <c r="BR10" s="69"/>
      <c r="BS10" s="69"/>
      <c r="BT10" s="69"/>
      <c r="BU10" s="69"/>
      <c r="BV10" s="172">
        <f t="shared" ref="BV10:BV15" si="18">SUM(BO10:BU10)</f>
        <v>0</v>
      </c>
      <c r="BW10" s="85"/>
      <c r="BX10" s="69"/>
      <c r="BY10" s="69"/>
      <c r="BZ10" s="69"/>
      <c r="CA10" s="69"/>
      <c r="CB10" s="69"/>
      <c r="CC10" s="69"/>
      <c r="CD10" s="172">
        <f t="shared" ref="CD10:CD15" si="19">SUM(BW10:CC10)</f>
        <v>0</v>
      </c>
      <c r="CE10" s="85"/>
      <c r="CF10" s="69"/>
      <c r="CG10" s="69"/>
      <c r="CH10" s="69"/>
      <c r="CI10" s="69"/>
      <c r="CJ10" s="69"/>
      <c r="CK10" s="69"/>
      <c r="CL10" s="172">
        <f t="shared" ref="CL10:CL15" si="20">SUM(CE10:CK10)</f>
        <v>0</v>
      </c>
      <c r="CM10" s="85"/>
      <c r="CN10" s="69"/>
      <c r="CO10" s="69"/>
      <c r="CP10" s="69"/>
      <c r="CQ10" s="69"/>
      <c r="CR10" s="69"/>
      <c r="CS10" s="69"/>
      <c r="CT10" s="172">
        <f t="shared" ref="CT10:CT15" si="21">SUM(CM10:CS10)</f>
        <v>0</v>
      </c>
      <c r="CU10" s="85"/>
      <c r="CV10" s="69"/>
      <c r="CW10" s="69"/>
      <c r="CX10" s="69"/>
      <c r="CY10" s="69"/>
      <c r="CZ10" s="69"/>
      <c r="DA10" s="69"/>
      <c r="DB10" s="172">
        <f t="shared" ref="DB10:DB15" si="22">SUM(CU10:DA10)</f>
        <v>0</v>
      </c>
      <c r="DC10" s="85"/>
      <c r="DD10" s="69"/>
      <c r="DE10" s="69"/>
      <c r="DF10" s="69"/>
      <c r="DG10" s="69"/>
      <c r="DH10" s="69"/>
      <c r="DI10" s="69"/>
      <c r="DJ10" s="172">
        <f t="shared" ref="DJ10:DJ15" si="23">SUM(DC10:DI10)</f>
        <v>0</v>
      </c>
      <c r="DK10" s="85"/>
      <c r="DL10" s="69"/>
      <c r="DM10" s="69"/>
      <c r="DN10" s="69"/>
      <c r="DO10" s="69"/>
      <c r="DP10" s="69"/>
      <c r="DQ10" s="69"/>
      <c r="DR10" s="172">
        <f t="shared" ref="DR10:DR15" si="24">SUM(DK10:DQ10)</f>
        <v>0</v>
      </c>
      <c r="DS10" s="85"/>
      <c r="DT10" s="69"/>
      <c r="DU10" s="69"/>
      <c r="DV10" s="69"/>
      <c r="DW10" s="69"/>
      <c r="DX10" s="69"/>
      <c r="DY10" s="69"/>
      <c r="DZ10" s="172">
        <f t="shared" ref="DZ10:DZ15" si="25">SUM(DS10:DY10)</f>
        <v>0</v>
      </c>
      <c r="EA10" s="85"/>
      <c r="EB10" s="69"/>
      <c r="EC10" s="69"/>
      <c r="ED10" s="69"/>
      <c r="EE10" s="69"/>
      <c r="EF10" s="69"/>
      <c r="EG10" s="69"/>
      <c r="EH10" s="172">
        <f t="shared" ref="EH10:EH15" si="26">SUM(EA10:EG10)</f>
        <v>0</v>
      </c>
    </row>
    <row r="11" spans="1:138" ht="15" x14ac:dyDescent="0.2">
      <c r="A11" s="162">
        <v>44313</v>
      </c>
      <c r="B11" s="70">
        <f t="shared" si="9"/>
        <v>0</v>
      </c>
      <c r="C11" s="150">
        <f t="shared" si="9"/>
        <v>0</v>
      </c>
      <c r="D11" s="70">
        <f t="shared" si="9"/>
        <v>0</v>
      </c>
      <c r="E11" s="150">
        <f t="shared" si="9"/>
        <v>0</v>
      </c>
      <c r="F11" s="70">
        <f t="shared" si="9"/>
        <v>0</v>
      </c>
      <c r="G11" s="150">
        <f t="shared" si="9"/>
        <v>0</v>
      </c>
      <c r="H11" s="70">
        <f t="shared" si="9"/>
        <v>0</v>
      </c>
      <c r="I11" s="163">
        <f t="shared" si="10"/>
        <v>0</v>
      </c>
      <c r="J11" s="50"/>
      <c r="K11" s="105"/>
      <c r="L11" s="68"/>
      <c r="M11" s="68"/>
      <c r="N11" s="68"/>
      <c r="O11" s="68"/>
      <c r="P11" s="68"/>
      <c r="Q11" s="68"/>
      <c r="R11" s="172">
        <f t="shared" si="11"/>
        <v>0</v>
      </c>
      <c r="S11" s="71"/>
      <c r="T11" s="68"/>
      <c r="U11" s="68"/>
      <c r="V11" s="68"/>
      <c r="W11" s="68"/>
      <c r="X11" s="68"/>
      <c r="Y11" s="68"/>
      <c r="Z11" s="172">
        <f t="shared" si="12"/>
        <v>0</v>
      </c>
      <c r="AA11" s="71"/>
      <c r="AB11" s="68"/>
      <c r="AC11" s="68"/>
      <c r="AD11" s="68"/>
      <c r="AE11" s="68"/>
      <c r="AF11" s="68"/>
      <c r="AG11" s="68"/>
      <c r="AH11" s="172">
        <f t="shared" si="13"/>
        <v>0</v>
      </c>
      <c r="AI11" s="85"/>
      <c r="AJ11" s="69"/>
      <c r="AK11" s="69"/>
      <c r="AL11" s="69"/>
      <c r="AM11" s="69"/>
      <c r="AN11" s="69"/>
      <c r="AO11" s="69"/>
      <c r="AP11" s="172">
        <f t="shared" si="14"/>
        <v>0</v>
      </c>
      <c r="AQ11" s="85"/>
      <c r="AR11" s="69"/>
      <c r="AS11" s="69"/>
      <c r="AT11" s="69"/>
      <c r="AU11" s="69"/>
      <c r="AV11" s="69"/>
      <c r="AW11" s="69"/>
      <c r="AX11" s="172">
        <f t="shared" si="15"/>
        <v>0</v>
      </c>
      <c r="AY11" s="85"/>
      <c r="AZ11" s="69"/>
      <c r="BA11" s="69"/>
      <c r="BB11" s="69"/>
      <c r="BC11" s="69"/>
      <c r="BD11" s="69"/>
      <c r="BE11" s="69"/>
      <c r="BF11" s="172">
        <f t="shared" si="16"/>
        <v>0</v>
      </c>
      <c r="BG11" s="85"/>
      <c r="BH11" s="69"/>
      <c r="BI11" s="69"/>
      <c r="BJ11" s="69"/>
      <c r="BK11" s="69"/>
      <c r="BL11" s="69"/>
      <c r="BM11" s="69"/>
      <c r="BN11" s="172">
        <f t="shared" si="17"/>
        <v>0</v>
      </c>
      <c r="BO11" s="85"/>
      <c r="BP11" s="69"/>
      <c r="BQ11" s="69"/>
      <c r="BR11" s="69"/>
      <c r="BS11" s="69"/>
      <c r="BT11" s="69"/>
      <c r="BU11" s="69"/>
      <c r="BV11" s="172">
        <f t="shared" si="18"/>
        <v>0</v>
      </c>
      <c r="BW11" s="85"/>
      <c r="BX11" s="69"/>
      <c r="BY11" s="69"/>
      <c r="BZ11" s="69"/>
      <c r="CA11" s="69"/>
      <c r="CB11" s="69"/>
      <c r="CC11" s="69"/>
      <c r="CD11" s="172">
        <f t="shared" si="19"/>
        <v>0</v>
      </c>
      <c r="CE11" s="85"/>
      <c r="CF11" s="69"/>
      <c r="CG11" s="69"/>
      <c r="CH11" s="69"/>
      <c r="CI11" s="69"/>
      <c r="CJ11" s="69"/>
      <c r="CK11" s="69"/>
      <c r="CL11" s="172">
        <f t="shared" si="20"/>
        <v>0</v>
      </c>
      <c r="CM11" s="85"/>
      <c r="CN11" s="69"/>
      <c r="CO11" s="69"/>
      <c r="CP11" s="69"/>
      <c r="CQ11" s="69"/>
      <c r="CR11" s="69"/>
      <c r="CS11" s="69"/>
      <c r="CT11" s="172">
        <f t="shared" si="21"/>
        <v>0</v>
      </c>
      <c r="CU11" s="85"/>
      <c r="CV11" s="69"/>
      <c r="CW11" s="69"/>
      <c r="CX11" s="69"/>
      <c r="CY11" s="69"/>
      <c r="CZ11" s="69"/>
      <c r="DA11" s="69"/>
      <c r="DB11" s="172">
        <f t="shared" si="22"/>
        <v>0</v>
      </c>
      <c r="DC11" s="85"/>
      <c r="DD11" s="69"/>
      <c r="DE11" s="69"/>
      <c r="DF11" s="69"/>
      <c r="DG11" s="69"/>
      <c r="DH11" s="69"/>
      <c r="DI11" s="69"/>
      <c r="DJ11" s="172">
        <f t="shared" si="23"/>
        <v>0</v>
      </c>
      <c r="DK11" s="85"/>
      <c r="DL11" s="69"/>
      <c r="DM11" s="69"/>
      <c r="DN11" s="69"/>
      <c r="DO11" s="69"/>
      <c r="DP11" s="69"/>
      <c r="DQ11" s="69"/>
      <c r="DR11" s="172">
        <f t="shared" si="24"/>
        <v>0</v>
      </c>
      <c r="DS11" s="85"/>
      <c r="DT11" s="69"/>
      <c r="DU11" s="69"/>
      <c r="DV11" s="69"/>
      <c r="DW11" s="69"/>
      <c r="DX11" s="69"/>
      <c r="DY11" s="69"/>
      <c r="DZ11" s="172">
        <f t="shared" si="25"/>
        <v>0</v>
      </c>
      <c r="EA11" s="85"/>
      <c r="EB11" s="69"/>
      <c r="EC11" s="69"/>
      <c r="ED11" s="69"/>
      <c r="EE11" s="69"/>
      <c r="EF11" s="69"/>
      <c r="EG11" s="69"/>
      <c r="EH11" s="172">
        <f t="shared" si="26"/>
        <v>0</v>
      </c>
    </row>
    <row r="12" spans="1:138" ht="15" x14ac:dyDescent="0.2">
      <c r="A12" s="162">
        <v>44314</v>
      </c>
      <c r="B12" s="70">
        <f t="shared" si="9"/>
        <v>0</v>
      </c>
      <c r="C12" s="150">
        <f t="shared" si="9"/>
        <v>0</v>
      </c>
      <c r="D12" s="70">
        <f t="shared" si="9"/>
        <v>0</v>
      </c>
      <c r="E12" s="150">
        <f t="shared" si="9"/>
        <v>0</v>
      </c>
      <c r="F12" s="70">
        <f t="shared" si="9"/>
        <v>0</v>
      </c>
      <c r="G12" s="150">
        <f t="shared" si="9"/>
        <v>0</v>
      </c>
      <c r="H12" s="70">
        <f t="shared" si="9"/>
        <v>0</v>
      </c>
      <c r="I12" s="163">
        <f t="shared" si="10"/>
        <v>0</v>
      </c>
      <c r="J12" s="50"/>
      <c r="K12" s="105"/>
      <c r="L12" s="68"/>
      <c r="M12" s="68"/>
      <c r="N12" s="68"/>
      <c r="O12" s="68"/>
      <c r="P12" s="68"/>
      <c r="Q12" s="68"/>
      <c r="R12" s="172">
        <f t="shared" si="11"/>
        <v>0</v>
      </c>
      <c r="S12" s="71"/>
      <c r="T12" s="68"/>
      <c r="U12" s="68"/>
      <c r="V12" s="68"/>
      <c r="W12" s="68"/>
      <c r="X12" s="68"/>
      <c r="Y12" s="68"/>
      <c r="Z12" s="172">
        <f t="shared" si="12"/>
        <v>0</v>
      </c>
      <c r="AA12" s="71"/>
      <c r="AB12" s="68"/>
      <c r="AC12" s="68"/>
      <c r="AD12" s="68"/>
      <c r="AE12" s="68"/>
      <c r="AF12" s="68"/>
      <c r="AG12" s="68"/>
      <c r="AH12" s="172">
        <f t="shared" si="13"/>
        <v>0</v>
      </c>
      <c r="AI12" s="85"/>
      <c r="AJ12" s="69"/>
      <c r="AK12" s="69"/>
      <c r="AL12" s="69"/>
      <c r="AM12" s="69"/>
      <c r="AN12" s="69"/>
      <c r="AO12" s="69"/>
      <c r="AP12" s="172">
        <f t="shared" si="14"/>
        <v>0</v>
      </c>
      <c r="AQ12" s="85"/>
      <c r="AR12" s="69"/>
      <c r="AS12" s="69"/>
      <c r="AT12" s="69"/>
      <c r="AU12" s="69"/>
      <c r="AV12" s="69"/>
      <c r="AW12" s="69"/>
      <c r="AX12" s="172">
        <f t="shared" si="15"/>
        <v>0</v>
      </c>
      <c r="AY12" s="85"/>
      <c r="AZ12" s="69"/>
      <c r="BA12" s="69"/>
      <c r="BB12" s="69"/>
      <c r="BC12" s="69"/>
      <c r="BD12" s="69"/>
      <c r="BE12" s="69"/>
      <c r="BF12" s="172">
        <f t="shared" si="16"/>
        <v>0</v>
      </c>
      <c r="BG12" s="85"/>
      <c r="BH12" s="69"/>
      <c r="BI12" s="69"/>
      <c r="BJ12" s="69"/>
      <c r="BK12" s="69"/>
      <c r="BL12" s="69"/>
      <c r="BM12" s="69"/>
      <c r="BN12" s="172">
        <f t="shared" si="17"/>
        <v>0</v>
      </c>
      <c r="BO12" s="85"/>
      <c r="BP12" s="69"/>
      <c r="BQ12" s="69"/>
      <c r="BR12" s="69"/>
      <c r="BS12" s="69"/>
      <c r="BT12" s="69"/>
      <c r="BU12" s="69"/>
      <c r="BV12" s="172">
        <f t="shared" si="18"/>
        <v>0</v>
      </c>
      <c r="BW12" s="85"/>
      <c r="BX12" s="69"/>
      <c r="BY12" s="69"/>
      <c r="BZ12" s="69"/>
      <c r="CA12" s="69"/>
      <c r="CB12" s="69"/>
      <c r="CC12" s="69"/>
      <c r="CD12" s="172">
        <f t="shared" si="19"/>
        <v>0</v>
      </c>
      <c r="CE12" s="85"/>
      <c r="CF12" s="69"/>
      <c r="CG12" s="69"/>
      <c r="CH12" s="69"/>
      <c r="CI12" s="69"/>
      <c r="CJ12" s="69"/>
      <c r="CK12" s="69"/>
      <c r="CL12" s="172">
        <f t="shared" si="20"/>
        <v>0</v>
      </c>
      <c r="CM12" s="85"/>
      <c r="CN12" s="69"/>
      <c r="CO12" s="69"/>
      <c r="CP12" s="69"/>
      <c r="CQ12" s="69"/>
      <c r="CR12" s="69"/>
      <c r="CS12" s="69"/>
      <c r="CT12" s="172">
        <f t="shared" si="21"/>
        <v>0</v>
      </c>
      <c r="CU12" s="85"/>
      <c r="CV12" s="69"/>
      <c r="CW12" s="69"/>
      <c r="CX12" s="69"/>
      <c r="CY12" s="69"/>
      <c r="CZ12" s="69"/>
      <c r="DA12" s="69"/>
      <c r="DB12" s="172">
        <f t="shared" si="22"/>
        <v>0</v>
      </c>
      <c r="DC12" s="85"/>
      <c r="DD12" s="69"/>
      <c r="DE12" s="69"/>
      <c r="DF12" s="69"/>
      <c r="DG12" s="69"/>
      <c r="DH12" s="69"/>
      <c r="DI12" s="69"/>
      <c r="DJ12" s="172">
        <f t="shared" si="23"/>
        <v>0</v>
      </c>
      <c r="DK12" s="85"/>
      <c r="DL12" s="69"/>
      <c r="DM12" s="69"/>
      <c r="DN12" s="69"/>
      <c r="DO12" s="69"/>
      <c r="DP12" s="69"/>
      <c r="DQ12" s="69"/>
      <c r="DR12" s="172">
        <f t="shared" si="24"/>
        <v>0</v>
      </c>
      <c r="DS12" s="85"/>
      <c r="DT12" s="69"/>
      <c r="DU12" s="69"/>
      <c r="DV12" s="69"/>
      <c r="DW12" s="69"/>
      <c r="DX12" s="69"/>
      <c r="DY12" s="69"/>
      <c r="DZ12" s="172">
        <f t="shared" si="25"/>
        <v>0</v>
      </c>
      <c r="EA12" s="85"/>
      <c r="EB12" s="69"/>
      <c r="EC12" s="69"/>
      <c r="ED12" s="69"/>
      <c r="EE12" s="69"/>
      <c r="EF12" s="69"/>
      <c r="EG12" s="69"/>
      <c r="EH12" s="172">
        <f t="shared" si="26"/>
        <v>0</v>
      </c>
    </row>
    <row r="13" spans="1:138" ht="15" x14ac:dyDescent="0.2">
      <c r="A13" s="162">
        <v>44315</v>
      </c>
      <c r="B13" s="70">
        <f t="shared" si="9"/>
        <v>0</v>
      </c>
      <c r="C13" s="150">
        <f t="shared" si="9"/>
        <v>0</v>
      </c>
      <c r="D13" s="70">
        <f t="shared" si="9"/>
        <v>0</v>
      </c>
      <c r="E13" s="150">
        <f t="shared" si="9"/>
        <v>0</v>
      </c>
      <c r="F13" s="70">
        <f t="shared" si="9"/>
        <v>0</v>
      </c>
      <c r="G13" s="150">
        <f t="shared" si="9"/>
        <v>0</v>
      </c>
      <c r="H13" s="70">
        <f t="shared" si="9"/>
        <v>0</v>
      </c>
      <c r="I13" s="163">
        <f t="shared" si="10"/>
        <v>0</v>
      </c>
      <c r="J13" s="50"/>
      <c r="K13" s="105"/>
      <c r="L13" s="68"/>
      <c r="M13" s="68"/>
      <c r="N13" s="68"/>
      <c r="O13" s="68"/>
      <c r="P13" s="68"/>
      <c r="Q13" s="68"/>
      <c r="R13" s="172">
        <f t="shared" si="11"/>
        <v>0</v>
      </c>
      <c r="S13" s="71"/>
      <c r="T13" s="68"/>
      <c r="U13" s="68"/>
      <c r="V13" s="68"/>
      <c r="W13" s="68"/>
      <c r="X13" s="68"/>
      <c r="Y13" s="68"/>
      <c r="Z13" s="172">
        <f t="shared" si="12"/>
        <v>0</v>
      </c>
      <c r="AA13" s="71"/>
      <c r="AB13" s="68"/>
      <c r="AC13" s="68"/>
      <c r="AD13" s="68"/>
      <c r="AE13" s="68"/>
      <c r="AF13" s="68"/>
      <c r="AG13" s="68"/>
      <c r="AH13" s="172">
        <f t="shared" si="13"/>
        <v>0</v>
      </c>
      <c r="AI13" s="85"/>
      <c r="AJ13" s="69"/>
      <c r="AK13" s="69"/>
      <c r="AL13" s="69"/>
      <c r="AM13" s="69"/>
      <c r="AN13" s="69"/>
      <c r="AO13" s="69"/>
      <c r="AP13" s="172">
        <f t="shared" si="14"/>
        <v>0</v>
      </c>
      <c r="AQ13" s="85"/>
      <c r="AR13" s="69"/>
      <c r="AS13" s="69"/>
      <c r="AT13" s="69"/>
      <c r="AU13" s="69"/>
      <c r="AV13" s="69"/>
      <c r="AW13" s="69"/>
      <c r="AX13" s="172">
        <f t="shared" si="15"/>
        <v>0</v>
      </c>
      <c r="AY13" s="85"/>
      <c r="AZ13" s="69"/>
      <c r="BA13" s="69"/>
      <c r="BB13" s="69"/>
      <c r="BC13" s="69"/>
      <c r="BD13" s="69"/>
      <c r="BE13" s="69"/>
      <c r="BF13" s="172">
        <f t="shared" si="16"/>
        <v>0</v>
      </c>
      <c r="BG13" s="85"/>
      <c r="BH13" s="69"/>
      <c r="BI13" s="69"/>
      <c r="BJ13" s="69"/>
      <c r="BK13" s="69"/>
      <c r="BL13" s="69"/>
      <c r="BM13" s="69"/>
      <c r="BN13" s="172">
        <f t="shared" si="17"/>
        <v>0</v>
      </c>
      <c r="BO13" s="85"/>
      <c r="BP13" s="69"/>
      <c r="BQ13" s="69"/>
      <c r="BR13" s="69"/>
      <c r="BS13" s="69"/>
      <c r="BT13" s="69"/>
      <c r="BU13" s="69"/>
      <c r="BV13" s="172">
        <f t="shared" si="18"/>
        <v>0</v>
      </c>
      <c r="BW13" s="85"/>
      <c r="BX13" s="69"/>
      <c r="BY13" s="69"/>
      <c r="BZ13" s="69"/>
      <c r="CA13" s="69"/>
      <c r="CB13" s="69"/>
      <c r="CC13" s="69"/>
      <c r="CD13" s="172">
        <f t="shared" si="19"/>
        <v>0</v>
      </c>
      <c r="CE13" s="85"/>
      <c r="CF13" s="69"/>
      <c r="CG13" s="69"/>
      <c r="CH13" s="69"/>
      <c r="CI13" s="69"/>
      <c r="CJ13" s="69"/>
      <c r="CK13" s="69"/>
      <c r="CL13" s="172">
        <f t="shared" si="20"/>
        <v>0</v>
      </c>
      <c r="CM13" s="85"/>
      <c r="CN13" s="69"/>
      <c r="CO13" s="69"/>
      <c r="CP13" s="69"/>
      <c r="CQ13" s="69"/>
      <c r="CR13" s="69"/>
      <c r="CS13" s="69"/>
      <c r="CT13" s="172">
        <f t="shared" si="21"/>
        <v>0</v>
      </c>
      <c r="CU13" s="85"/>
      <c r="CV13" s="69"/>
      <c r="CW13" s="69"/>
      <c r="CX13" s="69"/>
      <c r="CY13" s="69"/>
      <c r="CZ13" s="69"/>
      <c r="DA13" s="69"/>
      <c r="DB13" s="172">
        <f t="shared" si="22"/>
        <v>0</v>
      </c>
      <c r="DC13" s="85"/>
      <c r="DD13" s="69"/>
      <c r="DE13" s="69"/>
      <c r="DF13" s="69"/>
      <c r="DG13" s="69"/>
      <c r="DH13" s="69"/>
      <c r="DI13" s="69"/>
      <c r="DJ13" s="172">
        <f t="shared" si="23"/>
        <v>0</v>
      </c>
      <c r="DK13" s="85"/>
      <c r="DL13" s="69"/>
      <c r="DM13" s="69"/>
      <c r="DN13" s="69"/>
      <c r="DO13" s="69"/>
      <c r="DP13" s="69"/>
      <c r="DQ13" s="69"/>
      <c r="DR13" s="172">
        <f t="shared" si="24"/>
        <v>0</v>
      </c>
      <c r="DS13" s="85"/>
      <c r="DT13" s="69"/>
      <c r="DU13" s="69"/>
      <c r="DV13" s="69"/>
      <c r="DW13" s="69"/>
      <c r="DX13" s="69"/>
      <c r="DY13" s="69"/>
      <c r="DZ13" s="172">
        <f t="shared" si="25"/>
        <v>0</v>
      </c>
      <c r="EA13" s="85"/>
      <c r="EB13" s="69"/>
      <c r="EC13" s="69"/>
      <c r="ED13" s="69"/>
      <c r="EE13" s="69"/>
      <c r="EF13" s="69"/>
      <c r="EG13" s="69"/>
      <c r="EH13" s="172">
        <f t="shared" si="26"/>
        <v>0</v>
      </c>
    </row>
    <row r="14" spans="1:138" ht="15" x14ac:dyDescent="0.2">
      <c r="A14" s="162">
        <v>44316</v>
      </c>
      <c r="B14" s="70">
        <f t="shared" si="9"/>
        <v>0</v>
      </c>
      <c r="C14" s="150">
        <f t="shared" si="9"/>
        <v>0</v>
      </c>
      <c r="D14" s="70">
        <f t="shared" si="9"/>
        <v>0</v>
      </c>
      <c r="E14" s="150">
        <f t="shared" si="9"/>
        <v>0</v>
      </c>
      <c r="F14" s="70">
        <f t="shared" si="9"/>
        <v>0</v>
      </c>
      <c r="G14" s="150">
        <f t="shared" si="9"/>
        <v>0</v>
      </c>
      <c r="H14" s="70">
        <f t="shared" si="9"/>
        <v>0</v>
      </c>
      <c r="I14" s="163">
        <f t="shared" si="10"/>
        <v>0</v>
      </c>
      <c r="J14" s="50"/>
      <c r="K14" s="105"/>
      <c r="L14" s="68"/>
      <c r="M14" s="68"/>
      <c r="N14" s="68"/>
      <c r="O14" s="68"/>
      <c r="P14" s="68"/>
      <c r="Q14" s="68"/>
      <c r="R14" s="172">
        <f t="shared" si="11"/>
        <v>0</v>
      </c>
      <c r="S14" s="71"/>
      <c r="T14" s="68"/>
      <c r="U14" s="68"/>
      <c r="V14" s="68"/>
      <c r="W14" s="68"/>
      <c r="X14" s="68"/>
      <c r="Y14" s="68"/>
      <c r="Z14" s="172">
        <f t="shared" si="12"/>
        <v>0</v>
      </c>
      <c r="AA14" s="71"/>
      <c r="AB14" s="68"/>
      <c r="AC14" s="68"/>
      <c r="AD14" s="68"/>
      <c r="AE14" s="68"/>
      <c r="AF14" s="68"/>
      <c r="AG14" s="68"/>
      <c r="AH14" s="172">
        <f t="shared" si="13"/>
        <v>0</v>
      </c>
      <c r="AI14" s="85"/>
      <c r="AJ14" s="69"/>
      <c r="AK14" s="69"/>
      <c r="AL14" s="69"/>
      <c r="AM14" s="69"/>
      <c r="AN14" s="69"/>
      <c r="AO14" s="69"/>
      <c r="AP14" s="172">
        <f t="shared" si="14"/>
        <v>0</v>
      </c>
      <c r="AQ14" s="85"/>
      <c r="AR14" s="69"/>
      <c r="AS14" s="69"/>
      <c r="AT14" s="69"/>
      <c r="AU14" s="69"/>
      <c r="AV14" s="69"/>
      <c r="AW14" s="69"/>
      <c r="AX14" s="172">
        <f t="shared" si="15"/>
        <v>0</v>
      </c>
      <c r="AY14" s="85"/>
      <c r="AZ14" s="69"/>
      <c r="BA14" s="69"/>
      <c r="BB14" s="69"/>
      <c r="BC14" s="69"/>
      <c r="BD14" s="69"/>
      <c r="BE14" s="69"/>
      <c r="BF14" s="172">
        <f t="shared" si="16"/>
        <v>0</v>
      </c>
      <c r="BG14" s="85"/>
      <c r="BH14" s="69"/>
      <c r="BI14" s="69"/>
      <c r="BJ14" s="69"/>
      <c r="BK14" s="69"/>
      <c r="BL14" s="69"/>
      <c r="BM14" s="69"/>
      <c r="BN14" s="172">
        <f t="shared" si="17"/>
        <v>0</v>
      </c>
      <c r="BO14" s="85"/>
      <c r="BP14" s="69"/>
      <c r="BQ14" s="69"/>
      <c r="BR14" s="69"/>
      <c r="BS14" s="69"/>
      <c r="BT14" s="69"/>
      <c r="BU14" s="69"/>
      <c r="BV14" s="172">
        <f t="shared" si="18"/>
        <v>0</v>
      </c>
      <c r="BW14" s="85"/>
      <c r="BX14" s="69"/>
      <c r="BY14" s="69"/>
      <c r="BZ14" s="69"/>
      <c r="CA14" s="69"/>
      <c r="CB14" s="69"/>
      <c r="CC14" s="69"/>
      <c r="CD14" s="172">
        <f t="shared" si="19"/>
        <v>0</v>
      </c>
      <c r="CE14" s="85"/>
      <c r="CF14" s="69"/>
      <c r="CG14" s="69"/>
      <c r="CH14" s="69"/>
      <c r="CI14" s="69"/>
      <c r="CJ14" s="69"/>
      <c r="CK14" s="69"/>
      <c r="CL14" s="172">
        <f t="shared" si="20"/>
        <v>0</v>
      </c>
      <c r="CM14" s="85"/>
      <c r="CN14" s="69"/>
      <c r="CO14" s="69"/>
      <c r="CP14" s="69"/>
      <c r="CQ14" s="69"/>
      <c r="CR14" s="69"/>
      <c r="CS14" s="69"/>
      <c r="CT14" s="172">
        <f t="shared" si="21"/>
        <v>0</v>
      </c>
      <c r="CU14" s="85"/>
      <c r="CV14" s="69"/>
      <c r="CW14" s="69"/>
      <c r="CX14" s="69"/>
      <c r="CY14" s="69"/>
      <c r="CZ14" s="69"/>
      <c r="DA14" s="69"/>
      <c r="DB14" s="172">
        <f t="shared" si="22"/>
        <v>0</v>
      </c>
      <c r="DC14" s="85"/>
      <c r="DD14" s="69"/>
      <c r="DE14" s="69"/>
      <c r="DF14" s="69"/>
      <c r="DG14" s="69"/>
      <c r="DH14" s="69"/>
      <c r="DI14" s="69"/>
      <c r="DJ14" s="172">
        <f t="shared" si="23"/>
        <v>0</v>
      </c>
      <c r="DK14" s="85"/>
      <c r="DL14" s="69"/>
      <c r="DM14" s="69"/>
      <c r="DN14" s="69"/>
      <c r="DO14" s="69"/>
      <c r="DP14" s="69"/>
      <c r="DQ14" s="69"/>
      <c r="DR14" s="172">
        <f t="shared" si="24"/>
        <v>0</v>
      </c>
      <c r="DS14" s="85"/>
      <c r="DT14" s="69"/>
      <c r="DU14" s="69"/>
      <c r="DV14" s="69"/>
      <c r="DW14" s="69"/>
      <c r="DX14" s="69"/>
      <c r="DY14" s="69"/>
      <c r="DZ14" s="172">
        <f t="shared" si="25"/>
        <v>0</v>
      </c>
      <c r="EA14" s="85"/>
      <c r="EB14" s="69"/>
      <c r="EC14" s="69"/>
      <c r="ED14" s="69"/>
      <c r="EE14" s="69"/>
      <c r="EF14" s="69"/>
      <c r="EG14" s="69"/>
      <c r="EH14" s="172">
        <f t="shared" si="26"/>
        <v>0</v>
      </c>
    </row>
    <row r="15" spans="1:138" ht="15" x14ac:dyDescent="0.2">
      <c r="A15" s="162">
        <v>44317</v>
      </c>
      <c r="B15" s="70">
        <f t="shared" si="9"/>
        <v>0</v>
      </c>
      <c r="C15" s="150">
        <f t="shared" si="9"/>
        <v>0</v>
      </c>
      <c r="D15" s="70">
        <f t="shared" si="9"/>
        <v>0</v>
      </c>
      <c r="E15" s="150">
        <f t="shared" si="9"/>
        <v>0</v>
      </c>
      <c r="F15" s="70">
        <f t="shared" si="9"/>
        <v>0</v>
      </c>
      <c r="G15" s="150">
        <f t="shared" si="9"/>
        <v>0</v>
      </c>
      <c r="H15" s="70">
        <f t="shared" si="9"/>
        <v>0</v>
      </c>
      <c r="I15" s="163">
        <f t="shared" si="10"/>
        <v>0</v>
      </c>
      <c r="J15" s="50"/>
      <c r="K15" s="105"/>
      <c r="L15" s="68"/>
      <c r="M15" s="68"/>
      <c r="N15" s="68"/>
      <c r="O15" s="68"/>
      <c r="P15" s="68"/>
      <c r="Q15" s="68"/>
      <c r="R15" s="172">
        <f t="shared" si="11"/>
        <v>0</v>
      </c>
      <c r="S15" s="71"/>
      <c r="T15" s="68"/>
      <c r="U15" s="68"/>
      <c r="V15" s="68"/>
      <c r="W15" s="68"/>
      <c r="X15" s="68"/>
      <c r="Y15" s="68"/>
      <c r="Z15" s="172">
        <f t="shared" si="12"/>
        <v>0</v>
      </c>
      <c r="AA15" s="71"/>
      <c r="AB15" s="68"/>
      <c r="AC15" s="68"/>
      <c r="AD15" s="68"/>
      <c r="AE15" s="68"/>
      <c r="AF15" s="68"/>
      <c r="AG15" s="68"/>
      <c r="AH15" s="172">
        <f t="shared" si="13"/>
        <v>0</v>
      </c>
      <c r="AI15" s="85"/>
      <c r="AJ15" s="69"/>
      <c r="AK15" s="69"/>
      <c r="AL15" s="69"/>
      <c r="AM15" s="69"/>
      <c r="AN15" s="69"/>
      <c r="AO15" s="69"/>
      <c r="AP15" s="172">
        <f t="shared" si="14"/>
        <v>0</v>
      </c>
      <c r="AQ15" s="85"/>
      <c r="AR15" s="69"/>
      <c r="AS15" s="69"/>
      <c r="AT15" s="69"/>
      <c r="AU15" s="69"/>
      <c r="AV15" s="69"/>
      <c r="AW15" s="69"/>
      <c r="AX15" s="172">
        <f t="shared" si="15"/>
        <v>0</v>
      </c>
      <c r="AY15" s="85"/>
      <c r="AZ15" s="69"/>
      <c r="BA15" s="69"/>
      <c r="BB15" s="69"/>
      <c r="BC15" s="69"/>
      <c r="BD15" s="69"/>
      <c r="BE15" s="69"/>
      <c r="BF15" s="172">
        <f t="shared" si="16"/>
        <v>0</v>
      </c>
      <c r="BG15" s="85"/>
      <c r="BH15" s="69"/>
      <c r="BI15" s="69"/>
      <c r="BJ15" s="69"/>
      <c r="BK15" s="69"/>
      <c r="BL15" s="69"/>
      <c r="BM15" s="69"/>
      <c r="BN15" s="172">
        <f t="shared" si="17"/>
        <v>0</v>
      </c>
      <c r="BO15" s="85"/>
      <c r="BP15" s="69"/>
      <c r="BQ15" s="69"/>
      <c r="BR15" s="69"/>
      <c r="BS15" s="69"/>
      <c r="BT15" s="69"/>
      <c r="BU15" s="69"/>
      <c r="BV15" s="172">
        <f t="shared" si="18"/>
        <v>0</v>
      </c>
      <c r="BW15" s="85"/>
      <c r="BX15" s="69"/>
      <c r="BY15" s="69"/>
      <c r="BZ15" s="69"/>
      <c r="CA15" s="69"/>
      <c r="CB15" s="69"/>
      <c r="CC15" s="69"/>
      <c r="CD15" s="172">
        <f t="shared" si="19"/>
        <v>0</v>
      </c>
      <c r="CE15" s="85"/>
      <c r="CF15" s="69"/>
      <c r="CG15" s="69"/>
      <c r="CH15" s="69"/>
      <c r="CI15" s="69"/>
      <c r="CJ15" s="69"/>
      <c r="CK15" s="69"/>
      <c r="CL15" s="172">
        <f t="shared" si="20"/>
        <v>0</v>
      </c>
      <c r="CM15" s="85"/>
      <c r="CN15" s="69"/>
      <c r="CO15" s="69"/>
      <c r="CP15" s="69"/>
      <c r="CQ15" s="69"/>
      <c r="CR15" s="69"/>
      <c r="CS15" s="69"/>
      <c r="CT15" s="172">
        <f t="shared" si="21"/>
        <v>0</v>
      </c>
      <c r="CU15" s="85"/>
      <c r="CV15" s="69"/>
      <c r="CW15" s="69"/>
      <c r="CX15" s="69"/>
      <c r="CY15" s="69"/>
      <c r="CZ15" s="69"/>
      <c r="DA15" s="69"/>
      <c r="DB15" s="172">
        <f t="shared" si="22"/>
        <v>0</v>
      </c>
      <c r="DC15" s="85"/>
      <c r="DD15" s="69"/>
      <c r="DE15" s="69"/>
      <c r="DF15" s="69"/>
      <c r="DG15" s="69"/>
      <c r="DH15" s="69"/>
      <c r="DI15" s="69"/>
      <c r="DJ15" s="172">
        <f t="shared" si="23"/>
        <v>0</v>
      </c>
      <c r="DK15" s="85"/>
      <c r="DL15" s="69"/>
      <c r="DM15" s="69"/>
      <c r="DN15" s="69"/>
      <c r="DO15" s="69"/>
      <c r="DP15" s="69"/>
      <c r="DQ15" s="69"/>
      <c r="DR15" s="172">
        <f t="shared" si="24"/>
        <v>0</v>
      </c>
      <c r="DS15" s="85"/>
      <c r="DT15" s="69"/>
      <c r="DU15" s="69"/>
      <c r="DV15" s="69"/>
      <c r="DW15" s="69"/>
      <c r="DX15" s="69"/>
      <c r="DY15" s="69"/>
      <c r="DZ15" s="172">
        <f t="shared" si="25"/>
        <v>0</v>
      </c>
      <c r="EA15" s="85"/>
      <c r="EB15" s="69"/>
      <c r="EC15" s="69"/>
      <c r="ED15" s="69"/>
      <c r="EE15" s="69"/>
      <c r="EF15" s="69"/>
      <c r="EG15" s="69"/>
      <c r="EH15" s="172">
        <f t="shared" si="26"/>
        <v>0</v>
      </c>
    </row>
    <row r="16" spans="1:138" ht="15" x14ac:dyDescent="0.2">
      <c r="A16" s="164">
        <v>44318</v>
      </c>
      <c r="B16" s="69"/>
      <c r="C16" s="69"/>
      <c r="D16" s="69"/>
      <c r="E16" s="69"/>
      <c r="F16" s="69"/>
      <c r="G16" s="69"/>
      <c r="H16" s="69"/>
      <c r="I16" s="69"/>
      <c r="J16" s="50"/>
      <c r="K16" s="173"/>
      <c r="L16" s="69"/>
      <c r="M16" s="69"/>
      <c r="N16" s="69"/>
      <c r="O16" s="69"/>
      <c r="P16" s="69"/>
      <c r="Q16" s="69"/>
      <c r="R16" s="174"/>
      <c r="S16" s="85"/>
      <c r="T16" s="69"/>
      <c r="U16" s="69"/>
      <c r="V16" s="69"/>
      <c r="W16" s="69"/>
      <c r="X16" s="69"/>
      <c r="Y16" s="69"/>
      <c r="Z16" s="174"/>
      <c r="AA16" s="85"/>
      <c r="AB16" s="69"/>
      <c r="AC16" s="69"/>
      <c r="AD16" s="69"/>
      <c r="AE16" s="69"/>
      <c r="AF16" s="69"/>
      <c r="AG16" s="69"/>
      <c r="AH16" s="174"/>
      <c r="AI16" s="85"/>
      <c r="AJ16" s="69"/>
      <c r="AK16" s="69"/>
      <c r="AL16" s="69"/>
      <c r="AM16" s="69"/>
      <c r="AN16" s="69"/>
      <c r="AO16" s="69"/>
      <c r="AP16" s="174"/>
      <c r="AQ16" s="85"/>
      <c r="AR16" s="69"/>
      <c r="AS16" s="69"/>
      <c r="AT16" s="69"/>
      <c r="AU16" s="69"/>
      <c r="AV16" s="69"/>
      <c r="AW16" s="69"/>
      <c r="AX16" s="174"/>
      <c r="AY16" s="85"/>
      <c r="AZ16" s="69"/>
      <c r="BA16" s="69"/>
      <c r="BB16" s="69"/>
      <c r="BC16" s="69"/>
      <c r="BD16" s="69"/>
      <c r="BE16" s="69"/>
      <c r="BF16" s="174"/>
      <c r="BG16" s="85"/>
      <c r="BH16" s="69"/>
      <c r="BI16" s="69"/>
      <c r="BJ16" s="69"/>
      <c r="BK16" s="69"/>
      <c r="BL16" s="69"/>
      <c r="BM16" s="69"/>
      <c r="BN16" s="174"/>
      <c r="BO16" s="85"/>
      <c r="BP16" s="69"/>
      <c r="BQ16" s="69"/>
      <c r="BR16" s="69"/>
      <c r="BS16" s="69"/>
      <c r="BT16" s="69"/>
      <c r="BU16" s="69"/>
      <c r="BV16" s="174"/>
      <c r="BW16" s="85"/>
      <c r="BX16" s="69"/>
      <c r="BY16" s="69"/>
      <c r="BZ16" s="69"/>
      <c r="CA16" s="69"/>
      <c r="CB16" s="69"/>
      <c r="CC16" s="69"/>
      <c r="CD16" s="174"/>
      <c r="CE16" s="85"/>
      <c r="CF16" s="69"/>
      <c r="CG16" s="69"/>
      <c r="CH16" s="69"/>
      <c r="CI16" s="69"/>
      <c r="CJ16" s="69"/>
      <c r="CK16" s="69"/>
      <c r="CL16" s="174"/>
      <c r="CM16" s="85"/>
      <c r="CN16" s="69"/>
      <c r="CO16" s="69"/>
      <c r="CP16" s="69"/>
      <c r="CQ16" s="69"/>
      <c r="CR16" s="69"/>
      <c r="CS16" s="69"/>
      <c r="CT16" s="174"/>
      <c r="CU16" s="85"/>
      <c r="CV16" s="69"/>
      <c r="CW16" s="69"/>
      <c r="CX16" s="69"/>
      <c r="CY16" s="69"/>
      <c r="CZ16" s="69"/>
      <c r="DA16" s="69"/>
      <c r="DB16" s="174"/>
      <c r="DC16" s="85"/>
      <c r="DD16" s="69"/>
      <c r="DE16" s="69"/>
      <c r="DF16" s="69"/>
      <c r="DG16" s="69"/>
      <c r="DH16" s="69"/>
      <c r="DI16" s="69"/>
      <c r="DJ16" s="174"/>
      <c r="DK16" s="85"/>
      <c r="DL16" s="69"/>
      <c r="DM16" s="69"/>
      <c r="DN16" s="69"/>
      <c r="DO16" s="69"/>
      <c r="DP16" s="69"/>
      <c r="DQ16" s="69"/>
      <c r="DR16" s="174"/>
      <c r="DS16" s="85"/>
      <c r="DT16" s="69"/>
      <c r="DU16" s="69"/>
      <c r="DV16" s="69"/>
      <c r="DW16" s="69"/>
      <c r="DX16" s="69"/>
      <c r="DY16" s="69"/>
      <c r="DZ16" s="174"/>
      <c r="EA16" s="85"/>
      <c r="EB16" s="69"/>
      <c r="EC16" s="69"/>
      <c r="ED16" s="69"/>
      <c r="EE16" s="69"/>
      <c r="EF16" s="69"/>
      <c r="EG16" s="69"/>
      <c r="EH16" s="174"/>
    </row>
    <row r="17" spans="1:138" ht="15" x14ac:dyDescent="0.2">
      <c r="A17" s="165">
        <v>44319</v>
      </c>
      <c r="B17" s="70">
        <f t="shared" ref="B17:H21" si="27">K17+S17+AA17+AI17+AQ17+AY17+BG17+BO17+BW17+CE17+CM17+CU17+DC17+DK17+DS17+EA17</f>
        <v>0</v>
      </c>
      <c r="C17" s="150">
        <f t="shared" si="27"/>
        <v>0</v>
      </c>
      <c r="D17" s="70">
        <f t="shared" si="27"/>
        <v>0</v>
      </c>
      <c r="E17" s="150">
        <f t="shared" si="27"/>
        <v>0</v>
      </c>
      <c r="F17" s="70">
        <f t="shared" si="27"/>
        <v>0</v>
      </c>
      <c r="G17" s="150">
        <f t="shared" si="27"/>
        <v>0</v>
      </c>
      <c r="H17" s="70">
        <f t="shared" si="27"/>
        <v>0</v>
      </c>
      <c r="I17" s="163">
        <f>SUM(B17:H17)</f>
        <v>0</v>
      </c>
      <c r="J17" s="50"/>
      <c r="K17" s="175"/>
      <c r="L17" s="70"/>
      <c r="M17" s="70"/>
      <c r="N17" s="70"/>
      <c r="O17" s="70"/>
      <c r="P17" s="70"/>
      <c r="Q17" s="70"/>
      <c r="R17" s="172">
        <f>SUM(K17:Q17)</f>
        <v>0</v>
      </c>
      <c r="S17" s="187"/>
      <c r="T17" s="70"/>
      <c r="U17" s="70"/>
      <c r="V17" s="70"/>
      <c r="W17" s="70"/>
      <c r="X17" s="70"/>
      <c r="Y17" s="70"/>
      <c r="Z17" s="172">
        <f>SUM(S17:Y17)</f>
        <v>0</v>
      </c>
      <c r="AA17" s="187"/>
      <c r="AB17" s="70"/>
      <c r="AC17" s="70"/>
      <c r="AD17" s="70"/>
      <c r="AE17" s="70"/>
      <c r="AF17" s="70"/>
      <c r="AG17" s="70"/>
      <c r="AH17" s="172">
        <f>SUM(AA17:AG17)</f>
        <v>0</v>
      </c>
      <c r="AI17" s="85"/>
      <c r="AJ17" s="69"/>
      <c r="AK17" s="69"/>
      <c r="AL17" s="69"/>
      <c r="AM17" s="69"/>
      <c r="AN17" s="69"/>
      <c r="AO17" s="69"/>
      <c r="AP17" s="172">
        <f>SUM(AI17:AO17)</f>
        <v>0</v>
      </c>
      <c r="AQ17" s="85"/>
      <c r="AR17" s="69"/>
      <c r="AS17" s="69"/>
      <c r="AT17" s="69"/>
      <c r="AU17" s="69"/>
      <c r="AV17" s="69"/>
      <c r="AW17" s="69"/>
      <c r="AX17" s="172">
        <f>SUM(AQ17:AW17)</f>
        <v>0</v>
      </c>
      <c r="AY17" s="85"/>
      <c r="AZ17" s="69"/>
      <c r="BA17" s="69"/>
      <c r="BB17" s="69"/>
      <c r="BC17" s="69"/>
      <c r="BD17" s="69"/>
      <c r="BE17" s="69"/>
      <c r="BF17" s="172">
        <f>SUM(AY17:BE17)</f>
        <v>0</v>
      </c>
      <c r="BG17" s="85"/>
      <c r="BH17" s="69"/>
      <c r="BI17" s="69"/>
      <c r="BJ17" s="69"/>
      <c r="BK17" s="69"/>
      <c r="BL17" s="69"/>
      <c r="BM17" s="69"/>
      <c r="BN17" s="172">
        <f>SUM(BG17:BM17)</f>
        <v>0</v>
      </c>
      <c r="BO17" s="85"/>
      <c r="BP17" s="69"/>
      <c r="BQ17" s="69"/>
      <c r="BR17" s="69"/>
      <c r="BS17" s="69"/>
      <c r="BT17" s="69"/>
      <c r="BU17" s="69"/>
      <c r="BV17" s="172">
        <f>SUM(BO17:BU17)</f>
        <v>0</v>
      </c>
      <c r="BW17" s="85"/>
      <c r="BX17" s="69"/>
      <c r="BY17" s="69"/>
      <c r="BZ17" s="69"/>
      <c r="CA17" s="69"/>
      <c r="CB17" s="69"/>
      <c r="CC17" s="69"/>
      <c r="CD17" s="172">
        <f>SUM(BW17:CC17)</f>
        <v>0</v>
      </c>
      <c r="CE17" s="85"/>
      <c r="CF17" s="69"/>
      <c r="CG17" s="69"/>
      <c r="CH17" s="69"/>
      <c r="CI17" s="69"/>
      <c r="CJ17" s="69"/>
      <c r="CK17" s="69"/>
      <c r="CL17" s="172">
        <f>SUM(CE17:CK17)</f>
        <v>0</v>
      </c>
      <c r="CM17" s="85"/>
      <c r="CN17" s="69"/>
      <c r="CO17" s="69"/>
      <c r="CP17" s="69"/>
      <c r="CQ17" s="69"/>
      <c r="CR17" s="69"/>
      <c r="CS17" s="69"/>
      <c r="CT17" s="172">
        <f>SUM(CM17:CS17)</f>
        <v>0</v>
      </c>
      <c r="CU17" s="85"/>
      <c r="CV17" s="69"/>
      <c r="CW17" s="69"/>
      <c r="CX17" s="69"/>
      <c r="CY17" s="69"/>
      <c r="CZ17" s="69"/>
      <c r="DA17" s="69"/>
      <c r="DB17" s="172">
        <f>SUM(CU17:DA17)</f>
        <v>0</v>
      </c>
      <c r="DC17" s="85"/>
      <c r="DD17" s="69"/>
      <c r="DE17" s="69"/>
      <c r="DF17" s="69"/>
      <c r="DG17" s="69"/>
      <c r="DH17" s="69"/>
      <c r="DI17" s="69"/>
      <c r="DJ17" s="172">
        <f>SUM(DC17:DI17)</f>
        <v>0</v>
      </c>
      <c r="DK17" s="85"/>
      <c r="DL17" s="69"/>
      <c r="DM17" s="69"/>
      <c r="DN17" s="69"/>
      <c r="DO17" s="69"/>
      <c r="DP17" s="69"/>
      <c r="DQ17" s="69"/>
      <c r="DR17" s="172">
        <f>SUM(DK17:DQ17)</f>
        <v>0</v>
      </c>
      <c r="DS17" s="85"/>
      <c r="DT17" s="69"/>
      <c r="DU17" s="69"/>
      <c r="DV17" s="69"/>
      <c r="DW17" s="69"/>
      <c r="DX17" s="69"/>
      <c r="DY17" s="69"/>
      <c r="DZ17" s="172">
        <f>SUM(DS17:DY17)</f>
        <v>0</v>
      </c>
      <c r="EA17" s="85"/>
      <c r="EB17" s="69"/>
      <c r="EC17" s="69"/>
      <c r="ED17" s="69"/>
      <c r="EE17" s="69"/>
      <c r="EF17" s="69"/>
      <c r="EG17" s="69"/>
      <c r="EH17" s="172">
        <f>SUM(EA17:EG17)</f>
        <v>0</v>
      </c>
    </row>
    <row r="18" spans="1:138" ht="15" x14ac:dyDescent="0.2">
      <c r="A18" s="162">
        <v>44320</v>
      </c>
      <c r="B18" s="70">
        <f t="shared" si="27"/>
        <v>0</v>
      </c>
      <c r="C18" s="150">
        <f t="shared" si="27"/>
        <v>0</v>
      </c>
      <c r="D18" s="70">
        <f t="shared" si="27"/>
        <v>0</v>
      </c>
      <c r="E18" s="150">
        <f t="shared" si="27"/>
        <v>0</v>
      </c>
      <c r="F18" s="70">
        <f t="shared" si="27"/>
        <v>0</v>
      </c>
      <c r="G18" s="150">
        <f t="shared" si="27"/>
        <v>0</v>
      </c>
      <c r="H18" s="70">
        <f t="shared" si="27"/>
        <v>0</v>
      </c>
      <c r="I18" s="163">
        <f>SUM(B18:H18)</f>
        <v>0</v>
      </c>
      <c r="J18" s="50"/>
      <c r="K18" s="105"/>
      <c r="L18" s="68"/>
      <c r="M18" s="68"/>
      <c r="N18" s="68"/>
      <c r="O18" s="68"/>
      <c r="P18" s="68"/>
      <c r="Q18" s="68"/>
      <c r="R18" s="172">
        <f>SUM(K18:Q18)</f>
        <v>0</v>
      </c>
      <c r="S18" s="71"/>
      <c r="T18" s="68"/>
      <c r="U18" s="68"/>
      <c r="V18" s="68"/>
      <c r="W18" s="68"/>
      <c r="X18" s="68"/>
      <c r="Y18" s="68"/>
      <c r="Z18" s="172">
        <f>SUM(S18:Y18)</f>
        <v>0</v>
      </c>
      <c r="AA18" s="71"/>
      <c r="AB18" s="68"/>
      <c r="AC18" s="68"/>
      <c r="AD18" s="68"/>
      <c r="AE18" s="68"/>
      <c r="AF18" s="68"/>
      <c r="AG18" s="68"/>
      <c r="AH18" s="172">
        <f>SUM(AA18:AG18)</f>
        <v>0</v>
      </c>
      <c r="AI18" s="85"/>
      <c r="AJ18" s="69"/>
      <c r="AK18" s="69"/>
      <c r="AL18" s="69"/>
      <c r="AM18" s="69"/>
      <c r="AN18" s="69"/>
      <c r="AO18" s="69"/>
      <c r="AP18" s="172">
        <f>SUM(AI18:AO18)</f>
        <v>0</v>
      </c>
      <c r="AQ18" s="85"/>
      <c r="AR18" s="69"/>
      <c r="AS18" s="69"/>
      <c r="AT18" s="69"/>
      <c r="AU18" s="69"/>
      <c r="AV18" s="69"/>
      <c r="AW18" s="69"/>
      <c r="AX18" s="172">
        <f>SUM(AQ18:AW18)</f>
        <v>0</v>
      </c>
      <c r="AY18" s="85"/>
      <c r="AZ18" s="69"/>
      <c r="BA18" s="69"/>
      <c r="BB18" s="69"/>
      <c r="BC18" s="69"/>
      <c r="BD18" s="69"/>
      <c r="BE18" s="69"/>
      <c r="BF18" s="172">
        <f>SUM(AY18:BE18)</f>
        <v>0</v>
      </c>
      <c r="BG18" s="85"/>
      <c r="BH18" s="69"/>
      <c r="BI18" s="69"/>
      <c r="BJ18" s="69"/>
      <c r="BK18" s="69"/>
      <c r="BL18" s="69"/>
      <c r="BM18" s="69"/>
      <c r="BN18" s="172">
        <f>SUM(BG18:BM18)</f>
        <v>0</v>
      </c>
      <c r="BO18" s="85"/>
      <c r="BP18" s="69"/>
      <c r="BQ18" s="69"/>
      <c r="BR18" s="69"/>
      <c r="BS18" s="69"/>
      <c r="BT18" s="69"/>
      <c r="BU18" s="69"/>
      <c r="BV18" s="172">
        <f>SUM(BO18:BU18)</f>
        <v>0</v>
      </c>
      <c r="BW18" s="85"/>
      <c r="BX18" s="69"/>
      <c r="BY18" s="69"/>
      <c r="BZ18" s="69"/>
      <c r="CA18" s="69"/>
      <c r="CB18" s="69"/>
      <c r="CC18" s="69"/>
      <c r="CD18" s="172">
        <f>SUM(BW18:CC18)</f>
        <v>0</v>
      </c>
      <c r="CE18" s="85"/>
      <c r="CF18" s="69"/>
      <c r="CG18" s="69"/>
      <c r="CH18" s="69"/>
      <c r="CI18" s="69"/>
      <c r="CJ18" s="69"/>
      <c r="CK18" s="69"/>
      <c r="CL18" s="172">
        <f>SUM(CE18:CK18)</f>
        <v>0</v>
      </c>
      <c r="CM18" s="85"/>
      <c r="CN18" s="69"/>
      <c r="CO18" s="69"/>
      <c r="CP18" s="69"/>
      <c r="CQ18" s="69"/>
      <c r="CR18" s="69"/>
      <c r="CS18" s="69"/>
      <c r="CT18" s="172">
        <f>SUM(CM18:CS18)</f>
        <v>0</v>
      </c>
      <c r="CU18" s="85"/>
      <c r="CV18" s="69"/>
      <c r="CW18" s="69"/>
      <c r="CX18" s="69"/>
      <c r="CY18" s="69"/>
      <c r="CZ18" s="69"/>
      <c r="DA18" s="69"/>
      <c r="DB18" s="172">
        <f>SUM(CU18:DA18)</f>
        <v>0</v>
      </c>
      <c r="DC18" s="85"/>
      <c r="DD18" s="69"/>
      <c r="DE18" s="69"/>
      <c r="DF18" s="69"/>
      <c r="DG18" s="69"/>
      <c r="DH18" s="69"/>
      <c r="DI18" s="69"/>
      <c r="DJ18" s="172">
        <f>SUM(DC18:DI18)</f>
        <v>0</v>
      </c>
      <c r="DK18" s="85"/>
      <c r="DL18" s="69"/>
      <c r="DM18" s="69"/>
      <c r="DN18" s="69"/>
      <c r="DO18" s="69"/>
      <c r="DP18" s="69"/>
      <c r="DQ18" s="69"/>
      <c r="DR18" s="172">
        <f>SUM(DK18:DQ18)</f>
        <v>0</v>
      </c>
      <c r="DS18" s="85"/>
      <c r="DT18" s="69"/>
      <c r="DU18" s="69"/>
      <c r="DV18" s="69"/>
      <c r="DW18" s="69"/>
      <c r="DX18" s="69"/>
      <c r="DY18" s="69"/>
      <c r="DZ18" s="172">
        <f>SUM(DS18:DY18)</f>
        <v>0</v>
      </c>
      <c r="EA18" s="85"/>
      <c r="EB18" s="69"/>
      <c r="EC18" s="69"/>
      <c r="ED18" s="69"/>
      <c r="EE18" s="69"/>
      <c r="EF18" s="69"/>
      <c r="EG18" s="69"/>
      <c r="EH18" s="172">
        <f>SUM(EA18:EG18)</f>
        <v>0</v>
      </c>
    </row>
    <row r="19" spans="1:138" ht="15" x14ac:dyDescent="0.2">
      <c r="A19" s="162">
        <v>44321</v>
      </c>
      <c r="B19" s="70">
        <f t="shared" si="27"/>
        <v>0</v>
      </c>
      <c r="C19" s="150">
        <f t="shared" si="27"/>
        <v>0</v>
      </c>
      <c r="D19" s="70">
        <f t="shared" si="27"/>
        <v>0</v>
      </c>
      <c r="E19" s="150">
        <f t="shared" si="27"/>
        <v>0</v>
      </c>
      <c r="F19" s="70">
        <f t="shared" si="27"/>
        <v>0</v>
      </c>
      <c r="G19" s="150">
        <f t="shared" si="27"/>
        <v>0</v>
      </c>
      <c r="H19" s="70">
        <f t="shared" si="27"/>
        <v>0</v>
      </c>
      <c r="I19" s="163">
        <f>SUM(B19:H19)</f>
        <v>0</v>
      </c>
      <c r="J19" s="50"/>
      <c r="K19" s="105"/>
      <c r="L19" s="68"/>
      <c r="M19" s="68"/>
      <c r="N19" s="68"/>
      <c r="O19" s="68"/>
      <c r="P19" s="68"/>
      <c r="Q19" s="68"/>
      <c r="R19" s="172">
        <f>SUM(K19:Q19)</f>
        <v>0</v>
      </c>
      <c r="S19" s="71"/>
      <c r="T19" s="68"/>
      <c r="U19" s="68"/>
      <c r="V19" s="68"/>
      <c r="W19" s="68"/>
      <c r="X19" s="68"/>
      <c r="Y19" s="68"/>
      <c r="Z19" s="172">
        <f>SUM(S19:Y19)</f>
        <v>0</v>
      </c>
      <c r="AA19" s="71"/>
      <c r="AB19" s="68"/>
      <c r="AC19" s="68"/>
      <c r="AD19" s="68"/>
      <c r="AE19" s="68"/>
      <c r="AF19" s="68"/>
      <c r="AG19" s="68"/>
      <c r="AH19" s="172">
        <f>SUM(AA19:AG19)</f>
        <v>0</v>
      </c>
      <c r="AI19" s="85"/>
      <c r="AJ19" s="69"/>
      <c r="AK19" s="69"/>
      <c r="AL19" s="69"/>
      <c r="AM19" s="69"/>
      <c r="AN19" s="69"/>
      <c r="AO19" s="69"/>
      <c r="AP19" s="172">
        <f>SUM(AI19:AO19)</f>
        <v>0</v>
      </c>
      <c r="AQ19" s="85"/>
      <c r="AR19" s="69"/>
      <c r="AS19" s="69"/>
      <c r="AT19" s="69"/>
      <c r="AU19" s="69"/>
      <c r="AV19" s="69"/>
      <c r="AW19" s="69"/>
      <c r="AX19" s="172">
        <f>SUM(AQ19:AW19)</f>
        <v>0</v>
      </c>
      <c r="AY19" s="85"/>
      <c r="AZ19" s="69"/>
      <c r="BA19" s="69"/>
      <c r="BB19" s="69"/>
      <c r="BC19" s="69"/>
      <c r="BD19" s="69"/>
      <c r="BE19" s="69"/>
      <c r="BF19" s="172">
        <f>SUM(AY19:BE19)</f>
        <v>0</v>
      </c>
      <c r="BG19" s="85"/>
      <c r="BH19" s="69"/>
      <c r="BI19" s="69"/>
      <c r="BJ19" s="69"/>
      <c r="BK19" s="69"/>
      <c r="BL19" s="69"/>
      <c r="BM19" s="69"/>
      <c r="BN19" s="172">
        <f>SUM(BG19:BM19)</f>
        <v>0</v>
      </c>
      <c r="BO19" s="85"/>
      <c r="BP19" s="69"/>
      <c r="BQ19" s="69"/>
      <c r="BR19" s="69"/>
      <c r="BS19" s="69"/>
      <c r="BT19" s="69"/>
      <c r="BU19" s="69"/>
      <c r="BV19" s="172">
        <f>SUM(BO19:BU19)</f>
        <v>0</v>
      </c>
      <c r="BW19" s="85"/>
      <c r="BX19" s="69"/>
      <c r="BY19" s="69"/>
      <c r="BZ19" s="69"/>
      <c r="CA19" s="69"/>
      <c r="CB19" s="69"/>
      <c r="CC19" s="69"/>
      <c r="CD19" s="172">
        <f>SUM(BW19:CC19)</f>
        <v>0</v>
      </c>
      <c r="CE19" s="85"/>
      <c r="CF19" s="69"/>
      <c r="CG19" s="69"/>
      <c r="CH19" s="69"/>
      <c r="CI19" s="69"/>
      <c r="CJ19" s="69"/>
      <c r="CK19" s="69"/>
      <c r="CL19" s="172">
        <f>SUM(CE19:CK19)</f>
        <v>0</v>
      </c>
      <c r="CM19" s="85"/>
      <c r="CN19" s="69"/>
      <c r="CO19" s="69"/>
      <c r="CP19" s="69"/>
      <c r="CQ19" s="69"/>
      <c r="CR19" s="69"/>
      <c r="CS19" s="69"/>
      <c r="CT19" s="172">
        <f>SUM(CM19:CS19)</f>
        <v>0</v>
      </c>
      <c r="CU19" s="85"/>
      <c r="CV19" s="69"/>
      <c r="CW19" s="69"/>
      <c r="CX19" s="69"/>
      <c r="CY19" s="69"/>
      <c r="CZ19" s="69"/>
      <c r="DA19" s="69"/>
      <c r="DB19" s="172">
        <f>SUM(CU19:DA19)</f>
        <v>0</v>
      </c>
      <c r="DC19" s="85"/>
      <c r="DD19" s="69"/>
      <c r="DE19" s="69"/>
      <c r="DF19" s="69"/>
      <c r="DG19" s="69"/>
      <c r="DH19" s="69"/>
      <c r="DI19" s="69"/>
      <c r="DJ19" s="172">
        <f>SUM(DC19:DI19)</f>
        <v>0</v>
      </c>
      <c r="DK19" s="85"/>
      <c r="DL19" s="69"/>
      <c r="DM19" s="69"/>
      <c r="DN19" s="69"/>
      <c r="DO19" s="69"/>
      <c r="DP19" s="69"/>
      <c r="DQ19" s="69"/>
      <c r="DR19" s="172">
        <f>SUM(DK19:DQ19)</f>
        <v>0</v>
      </c>
      <c r="DS19" s="85"/>
      <c r="DT19" s="69"/>
      <c r="DU19" s="69"/>
      <c r="DV19" s="69"/>
      <c r="DW19" s="69"/>
      <c r="DX19" s="69"/>
      <c r="DY19" s="69"/>
      <c r="DZ19" s="172">
        <f>SUM(DS19:DY19)</f>
        <v>0</v>
      </c>
      <c r="EA19" s="85"/>
      <c r="EB19" s="69"/>
      <c r="EC19" s="69"/>
      <c r="ED19" s="69"/>
      <c r="EE19" s="69"/>
      <c r="EF19" s="69"/>
      <c r="EG19" s="69"/>
      <c r="EH19" s="172">
        <f>SUM(EA19:EG19)</f>
        <v>0</v>
      </c>
    </row>
    <row r="20" spans="1:138" ht="15" x14ac:dyDescent="0.2">
      <c r="A20" s="162">
        <v>44322</v>
      </c>
      <c r="B20" s="70">
        <f t="shared" si="27"/>
        <v>0</v>
      </c>
      <c r="C20" s="150">
        <f t="shared" si="27"/>
        <v>0</v>
      </c>
      <c r="D20" s="70">
        <f t="shared" si="27"/>
        <v>0</v>
      </c>
      <c r="E20" s="150">
        <f t="shared" si="27"/>
        <v>0</v>
      </c>
      <c r="F20" s="70">
        <f t="shared" si="27"/>
        <v>0</v>
      </c>
      <c r="G20" s="150">
        <f t="shared" si="27"/>
        <v>0</v>
      </c>
      <c r="H20" s="70">
        <f t="shared" si="27"/>
        <v>0</v>
      </c>
      <c r="I20" s="163">
        <f>SUM(B20:H20)</f>
        <v>0</v>
      </c>
      <c r="J20" s="50"/>
      <c r="K20" s="105"/>
      <c r="L20" s="68"/>
      <c r="M20" s="68"/>
      <c r="N20" s="68"/>
      <c r="O20" s="68"/>
      <c r="P20" s="68"/>
      <c r="Q20" s="68"/>
      <c r="R20" s="172">
        <f>SUM(K20:Q20)</f>
        <v>0</v>
      </c>
      <c r="S20" s="71"/>
      <c r="T20" s="68"/>
      <c r="U20" s="68"/>
      <c r="V20" s="68"/>
      <c r="W20" s="68"/>
      <c r="X20" s="68"/>
      <c r="Y20" s="68"/>
      <c r="Z20" s="172">
        <f>SUM(S20:Y20)</f>
        <v>0</v>
      </c>
      <c r="AA20" s="71"/>
      <c r="AB20" s="68"/>
      <c r="AC20" s="68"/>
      <c r="AD20" s="68"/>
      <c r="AE20" s="68"/>
      <c r="AF20" s="68"/>
      <c r="AG20" s="68"/>
      <c r="AH20" s="172">
        <f>SUM(AA20:AG20)</f>
        <v>0</v>
      </c>
      <c r="AI20" s="85"/>
      <c r="AJ20" s="69"/>
      <c r="AK20" s="69"/>
      <c r="AL20" s="69"/>
      <c r="AM20" s="69"/>
      <c r="AN20" s="69"/>
      <c r="AO20" s="69"/>
      <c r="AP20" s="172">
        <f>SUM(AI20:AO20)</f>
        <v>0</v>
      </c>
      <c r="AQ20" s="85"/>
      <c r="AR20" s="69"/>
      <c r="AS20" s="69"/>
      <c r="AT20" s="69"/>
      <c r="AU20" s="69"/>
      <c r="AV20" s="69"/>
      <c r="AW20" s="69"/>
      <c r="AX20" s="172">
        <f>SUM(AQ20:AW20)</f>
        <v>0</v>
      </c>
      <c r="AY20" s="85"/>
      <c r="AZ20" s="69"/>
      <c r="BA20" s="69"/>
      <c r="BB20" s="69"/>
      <c r="BC20" s="69"/>
      <c r="BD20" s="69"/>
      <c r="BE20" s="69"/>
      <c r="BF20" s="172">
        <f>SUM(AY20:BE20)</f>
        <v>0</v>
      </c>
      <c r="BG20" s="85"/>
      <c r="BH20" s="69"/>
      <c r="BI20" s="69"/>
      <c r="BJ20" s="69"/>
      <c r="BK20" s="69"/>
      <c r="BL20" s="69"/>
      <c r="BM20" s="69"/>
      <c r="BN20" s="172">
        <f>SUM(BG20:BM20)</f>
        <v>0</v>
      </c>
      <c r="BO20" s="85"/>
      <c r="BP20" s="69"/>
      <c r="BQ20" s="69"/>
      <c r="BR20" s="69"/>
      <c r="BS20" s="69"/>
      <c r="BT20" s="69"/>
      <c r="BU20" s="69"/>
      <c r="BV20" s="172">
        <f>SUM(BO20:BU20)</f>
        <v>0</v>
      </c>
      <c r="BW20" s="85"/>
      <c r="BX20" s="69"/>
      <c r="BY20" s="69"/>
      <c r="BZ20" s="69"/>
      <c r="CA20" s="69"/>
      <c r="CB20" s="69"/>
      <c r="CC20" s="69"/>
      <c r="CD20" s="172">
        <f>SUM(BW20:CC20)</f>
        <v>0</v>
      </c>
      <c r="CE20" s="85"/>
      <c r="CF20" s="69"/>
      <c r="CG20" s="69"/>
      <c r="CH20" s="69"/>
      <c r="CI20" s="69"/>
      <c r="CJ20" s="69"/>
      <c r="CK20" s="69"/>
      <c r="CL20" s="172">
        <f>SUM(CE20:CK20)</f>
        <v>0</v>
      </c>
      <c r="CM20" s="85"/>
      <c r="CN20" s="69"/>
      <c r="CO20" s="69"/>
      <c r="CP20" s="69"/>
      <c r="CQ20" s="69"/>
      <c r="CR20" s="69"/>
      <c r="CS20" s="69"/>
      <c r="CT20" s="172">
        <f>SUM(CM20:CS20)</f>
        <v>0</v>
      </c>
      <c r="CU20" s="85"/>
      <c r="CV20" s="69"/>
      <c r="CW20" s="69"/>
      <c r="CX20" s="69"/>
      <c r="CY20" s="69"/>
      <c r="CZ20" s="69"/>
      <c r="DA20" s="69"/>
      <c r="DB20" s="172">
        <f>SUM(CU20:DA20)</f>
        <v>0</v>
      </c>
      <c r="DC20" s="85"/>
      <c r="DD20" s="69"/>
      <c r="DE20" s="69"/>
      <c r="DF20" s="69"/>
      <c r="DG20" s="69"/>
      <c r="DH20" s="69"/>
      <c r="DI20" s="69"/>
      <c r="DJ20" s="172">
        <f>SUM(DC20:DI20)</f>
        <v>0</v>
      </c>
      <c r="DK20" s="85"/>
      <c r="DL20" s="69"/>
      <c r="DM20" s="69"/>
      <c r="DN20" s="69"/>
      <c r="DO20" s="69"/>
      <c r="DP20" s="69"/>
      <c r="DQ20" s="69"/>
      <c r="DR20" s="172">
        <f>SUM(DK20:DQ20)</f>
        <v>0</v>
      </c>
      <c r="DS20" s="85"/>
      <c r="DT20" s="69"/>
      <c r="DU20" s="69"/>
      <c r="DV20" s="69"/>
      <c r="DW20" s="69"/>
      <c r="DX20" s="69"/>
      <c r="DY20" s="69"/>
      <c r="DZ20" s="172">
        <f>SUM(DS20:DY20)</f>
        <v>0</v>
      </c>
      <c r="EA20" s="85"/>
      <c r="EB20" s="69"/>
      <c r="EC20" s="69"/>
      <c r="ED20" s="69"/>
      <c r="EE20" s="69"/>
      <c r="EF20" s="69"/>
      <c r="EG20" s="69"/>
      <c r="EH20" s="172">
        <f>SUM(EA20:EG20)</f>
        <v>0</v>
      </c>
    </row>
    <row r="21" spans="1:138" ht="15" x14ac:dyDescent="0.2">
      <c r="A21" s="162">
        <v>44323</v>
      </c>
      <c r="B21" s="70">
        <f t="shared" si="27"/>
        <v>0</v>
      </c>
      <c r="C21" s="150">
        <f t="shared" si="27"/>
        <v>0</v>
      </c>
      <c r="D21" s="70">
        <f t="shared" si="27"/>
        <v>0</v>
      </c>
      <c r="E21" s="150">
        <f t="shared" si="27"/>
        <v>0</v>
      </c>
      <c r="F21" s="70">
        <f t="shared" si="27"/>
        <v>0</v>
      </c>
      <c r="G21" s="150">
        <f t="shared" si="27"/>
        <v>0</v>
      </c>
      <c r="H21" s="70">
        <f t="shared" si="27"/>
        <v>0</v>
      </c>
      <c r="I21" s="163">
        <f>SUM(B21:H21)</f>
        <v>0</v>
      </c>
      <c r="J21" s="50"/>
      <c r="K21" s="105"/>
      <c r="L21" s="68"/>
      <c r="M21" s="68"/>
      <c r="N21" s="68"/>
      <c r="O21" s="68"/>
      <c r="P21" s="68"/>
      <c r="Q21" s="68"/>
      <c r="R21" s="172">
        <f>SUM(K21:Q21)</f>
        <v>0</v>
      </c>
      <c r="S21" s="71"/>
      <c r="T21" s="68"/>
      <c r="U21" s="68"/>
      <c r="V21" s="68"/>
      <c r="W21" s="68"/>
      <c r="X21" s="68"/>
      <c r="Y21" s="68"/>
      <c r="Z21" s="172">
        <f>SUM(S21:Y21)</f>
        <v>0</v>
      </c>
      <c r="AA21" s="71"/>
      <c r="AB21" s="68"/>
      <c r="AC21" s="68"/>
      <c r="AD21" s="68"/>
      <c r="AE21" s="68"/>
      <c r="AF21" s="68"/>
      <c r="AG21" s="68"/>
      <c r="AH21" s="172">
        <f>SUM(AA21:AG21)</f>
        <v>0</v>
      </c>
      <c r="AI21" s="85"/>
      <c r="AJ21" s="69"/>
      <c r="AK21" s="69"/>
      <c r="AL21" s="69"/>
      <c r="AM21" s="69"/>
      <c r="AN21" s="69"/>
      <c r="AO21" s="69"/>
      <c r="AP21" s="172">
        <f>SUM(AI21:AO21)</f>
        <v>0</v>
      </c>
      <c r="AQ21" s="85"/>
      <c r="AR21" s="69"/>
      <c r="AS21" s="69"/>
      <c r="AT21" s="69"/>
      <c r="AU21" s="69"/>
      <c r="AV21" s="69"/>
      <c r="AW21" s="69"/>
      <c r="AX21" s="172">
        <f>SUM(AQ21:AW21)</f>
        <v>0</v>
      </c>
      <c r="AY21" s="85"/>
      <c r="AZ21" s="69"/>
      <c r="BA21" s="69"/>
      <c r="BB21" s="69"/>
      <c r="BC21" s="69"/>
      <c r="BD21" s="69"/>
      <c r="BE21" s="69"/>
      <c r="BF21" s="172">
        <f>SUM(AY21:BE21)</f>
        <v>0</v>
      </c>
      <c r="BG21" s="85"/>
      <c r="BH21" s="69"/>
      <c r="BI21" s="69"/>
      <c r="BJ21" s="69"/>
      <c r="BK21" s="69"/>
      <c r="BL21" s="69"/>
      <c r="BM21" s="69"/>
      <c r="BN21" s="172">
        <f>SUM(BG21:BM21)</f>
        <v>0</v>
      </c>
      <c r="BO21" s="85"/>
      <c r="BP21" s="69"/>
      <c r="BQ21" s="69"/>
      <c r="BR21" s="69"/>
      <c r="BS21" s="69"/>
      <c r="BT21" s="69"/>
      <c r="BU21" s="69"/>
      <c r="BV21" s="172">
        <f>SUM(BO21:BU21)</f>
        <v>0</v>
      </c>
      <c r="BW21" s="85"/>
      <c r="BX21" s="69"/>
      <c r="BY21" s="69"/>
      <c r="BZ21" s="69"/>
      <c r="CA21" s="69"/>
      <c r="CB21" s="69"/>
      <c r="CC21" s="69"/>
      <c r="CD21" s="172">
        <f>SUM(BW21:CC21)</f>
        <v>0</v>
      </c>
      <c r="CE21" s="85"/>
      <c r="CF21" s="69"/>
      <c r="CG21" s="69"/>
      <c r="CH21" s="69"/>
      <c r="CI21" s="69"/>
      <c r="CJ21" s="69"/>
      <c r="CK21" s="69"/>
      <c r="CL21" s="172">
        <f>SUM(CE21:CK21)</f>
        <v>0</v>
      </c>
      <c r="CM21" s="85"/>
      <c r="CN21" s="69"/>
      <c r="CO21" s="69"/>
      <c r="CP21" s="69"/>
      <c r="CQ21" s="69"/>
      <c r="CR21" s="69"/>
      <c r="CS21" s="69"/>
      <c r="CT21" s="172">
        <f>SUM(CM21:CS21)</f>
        <v>0</v>
      </c>
      <c r="CU21" s="85"/>
      <c r="CV21" s="69"/>
      <c r="CW21" s="69"/>
      <c r="CX21" s="69"/>
      <c r="CY21" s="69"/>
      <c r="CZ21" s="69"/>
      <c r="DA21" s="69"/>
      <c r="DB21" s="172">
        <f>SUM(CU21:DA21)</f>
        <v>0</v>
      </c>
      <c r="DC21" s="85"/>
      <c r="DD21" s="69"/>
      <c r="DE21" s="69"/>
      <c r="DF21" s="69"/>
      <c r="DG21" s="69"/>
      <c r="DH21" s="69"/>
      <c r="DI21" s="69"/>
      <c r="DJ21" s="172">
        <f>SUM(DC21:DI21)</f>
        <v>0</v>
      </c>
      <c r="DK21" s="85"/>
      <c r="DL21" s="69"/>
      <c r="DM21" s="69"/>
      <c r="DN21" s="69"/>
      <c r="DO21" s="69"/>
      <c r="DP21" s="69"/>
      <c r="DQ21" s="69"/>
      <c r="DR21" s="172">
        <f>SUM(DK21:DQ21)</f>
        <v>0</v>
      </c>
      <c r="DS21" s="85"/>
      <c r="DT21" s="69"/>
      <c r="DU21" s="69"/>
      <c r="DV21" s="69"/>
      <c r="DW21" s="69"/>
      <c r="DX21" s="69"/>
      <c r="DY21" s="69"/>
      <c r="DZ21" s="172">
        <f>SUM(DS21:DY21)</f>
        <v>0</v>
      </c>
      <c r="EA21" s="85"/>
      <c r="EB21" s="69"/>
      <c r="EC21" s="69"/>
      <c r="ED21" s="69"/>
      <c r="EE21" s="69"/>
      <c r="EF21" s="69"/>
      <c r="EG21" s="69"/>
      <c r="EH21" s="172">
        <f>SUM(EA21:EG21)</f>
        <v>0</v>
      </c>
    </row>
    <row r="22" spans="1:138" ht="15" x14ac:dyDescent="0.2">
      <c r="A22" s="164">
        <v>44324</v>
      </c>
      <c r="B22" s="69"/>
      <c r="C22" s="69"/>
      <c r="D22" s="69"/>
      <c r="E22" s="69"/>
      <c r="F22" s="69"/>
      <c r="G22" s="69"/>
      <c r="H22" s="69"/>
      <c r="I22" s="69"/>
      <c r="J22" s="50"/>
      <c r="K22" s="173"/>
      <c r="L22" s="69"/>
      <c r="M22" s="69"/>
      <c r="N22" s="69"/>
      <c r="O22" s="69"/>
      <c r="P22" s="69"/>
      <c r="Q22" s="69"/>
      <c r="R22" s="174"/>
      <c r="S22" s="85"/>
      <c r="T22" s="69"/>
      <c r="U22" s="69"/>
      <c r="V22" s="69"/>
      <c r="W22" s="69"/>
      <c r="X22" s="69"/>
      <c r="Y22" s="69"/>
      <c r="Z22" s="174"/>
      <c r="AA22" s="85"/>
      <c r="AB22" s="69"/>
      <c r="AC22" s="69"/>
      <c r="AD22" s="69"/>
      <c r="AE22" s="69"/>
      <c r="AF22" s="69"/>
      <c r="AG22" s="69"/>
      <c r="AH22" s="174"/>
      <c r="AI22" s="85"/>
      <c r="AJ22" s="69"/>
      <c r="AK22" s="69"/>
      <c r="AL22" s="69"/>
      <c r="AM22" s="69"/>
      <c r="AN22" s="69"/>
      <c r="AO22" s="69"/>
      <c r="AP22" s="174"/>
      <c r="AQ22" s="85"/>
      <c r="AR22" s="69"/>
      <c r="AS22" s="69"/>
      <c r="AT22" s="69"/>
      <c r="AU22" s="69"/>
      <c r="AV22" s="69"/>
      <c r="AW22" s="69"/>
      <c r="AX22" s="174"/>
      <c r="AY22" s="85"/>
      <c r="AZ22" s="69"/>
      <c r="BA22" s="69"/>
      <c r="BB22" s="69"/>
      <c r="BC22" s="69"/>
      <c r="BD22" s="69"/>
      <c r="BE22" s="69"/>
      <c r="BF22" s="174"/>
      <c r="BG22" s="85"/>
      <c r="BH22" s="69"/>
      <c r="BI22" s="69"/>
      <c r="BJ22" s="69"/>
      <c r="BK22" s="69"/>
      <c r="BL22" s="69"/>
      <c r="BM22" s="69"/>
      <c r="BN22" s="174"/>
      <c r="BO22" s="85"/>
      <c r="BP22" s="69"/>
      <c r="BQ22" s="69"/>
      <c r="BR22" s="69"/>
      <c r="BS22" s="69"/>
      <c r="BT22" s="69"/>
      <c r="BU22" s="69"/>
      <c r="BV22" s="174"/>
      <c r="BW22" s="85"/>
      <c r="BX22" s="69"/>
      <c r="BY22" s="69"/>
      <c r="BZ22" s="69"/>
      <c r="CA22" s="69"/>
      <c r="CB22" s="69"/>
      <c r="CC22" s="69"/>
      <c r="CD22" s="174"/>
      <c r="CE22" s="85"/>
      <c r="CF22" s="69"/>
      <c r="CG22" s="69"/>
      <c r="CH22" s="69"/>
      <c r="CI22" s="69"/>
      <c r="CJ22" s="69"/>
      <c r="CK22" s="69"/>
      <c r="CL22" s="174"/>
      <c r="CM22" s="85"/>
      <c r="CN22" s="69"/>
      <c r="CO22" s="69"/>
      <c r="CP22" s="69"/>
      <c r="CQ22" s="69"/>
      <c r="CR22" s="69"/>
      <c r="CS22" s="69"/>
      <c r="CT22" s="174"/>
      <c r="CU22" s="85"/>
      <c r="CV22" s="69"/>
      <c r="CW22" s="69"/>
      <c r="CX22" s="69"/>
      <c r="CY22" s="69"/>
      <c r="CZ22" s="69"/>
      <c r="DA22" s="69"/>
      <c r="DB22" s="174"/>
      <c r="DC22" s="85"/>
      <c r="DD22" s="69"/>
      <c r="DE22" s="69"/>
      <c r="DF22" s="69"/>
      <c r="DG22" s="69"/>
      <c r="DH22" s="69"/>
      <c r="DI22" s="69"/>
      <c r="DJ22" s="174"/>
      <c r="DK22" s="85"/>
      <c r="DL22" s="69"/>
      <c r="DM22" s="69"/>
      <c r="DN22" s="69"/>
      <c r="DO22" s="69"/>
      <c r="DP22" s="69"/>
      <c r="DQ22" s="69"/>
      <c r="DR22" s="174"/>
      <c r="DS22" s="85"/>
      <c r="DT22" s="69"/>
      <c r="DU22" s="69"/>
      <c r="DV22" s="69"/>
      <c r="DW22" s="69"/>
      <c r="DX22" s="69"/>
      <c r="DY22" s="69"/>
      <c r="DZ22" s="174"/>
      <c r="EA22" s="85"/>
      <c r="EB22" s="69"/>
      <c r="EC22" s="69"/>
      <c r="ED22" s="69"/>
      <c r="EE22" s="69"/>
      <c r="EF22" s="69"/>
      <c r="EG22" s="69"/>
      <c r="EH22" s="174"/>
    </row>
    <row r="23" spans="1:138" ht="15" x14ac:dyDescent="0.2">
      <c r="A23" s="164">
        <v>44325</v>
      </c>
      <c r="B23" s="69"/>
      <c r="C23" s="69"/>
      <c r="D23" s="69"/>
      <c r="E23" s="69"/>
      <c r="F23" s="69"/>
      <c r="G23" s="69"/>
      <c r="H23" s="69"/>
      <c r="I23" s="69"/>
      <c r="J23" s="50"/>
      <c r="K23" s="173"/>
      <c r="L23" s="69"/>
      <c r="M23" s="69"/>
      <c r="N23" s="69"/>
      <c r="O23" s="69"/>
      <c r="P23" s="69"/>
      <c r="Q23" s="69"/>
      <c r="R23" s="174"/>
      <c r="S23" s="85"/>
      <c r="T23" s="69"/>
      <c r="U23" s="69"/>
      <c r="V23" s="69"/>
      <c r="W23" s="69"/>
      <c r="X23" s="69"/>
      <c r="Y23" s="69"/>
      <c r="Z23" s="174"/>
      <c r="AA23" s="85"/>
      <c r="AB23" s="69"/>
      <c r="AC23" s="69"/>
      <c r="AD23" s="69"/>
      <c r="AE23" s="69"/>
      <c r="AF23" s="69"/>
      <c r="AG23" s="69"/>
      <c r="AH23" s="174"/>
      <c r="AI23" s="85"/>
      <c r="AJ23" s="69"/>
      <c r="AK23" s="69"/>
      <c r="AL23" s="69"/>
      <c r="AM23" s="69"/>
      <c r="AN23" s="69"/>
      <c r="AO23" s="69"/>
      <c r="AP23" s="174"/>
      <c r="AQ23" s="85"/>
      <c r="AR23" s="69"/>
      <c r="AS23" s="69"/>
      <c r="AT23" s="69"/>
      <c r="AU23" s="69"/>
      <c r="AV23" s="69"/>
      <c r="AW23" s="69"/>
      <c r="AX23" s="174"/>
      <c r="AY23" s="85"/>
      <c r="AZ23" s="69"/>
      <c r="BA23" s="69"/>
      <c r="BB23" s="69"/>
      <c r="BC23" s="69"/>
      <c r="BD23" s="69"/>
      <c r="BE23" s="69"/>
      <c r="BF23" s="174"/>
      <c r="BG23" s="85"/>
      <c r="BH23" s="69"/>
      <c r="BI23" s="69"/>
      <c r="BJ23" s="69"/>
      <c r="BK23" s="69"/>
      <c r="BL23" s="69"/>
      <c r="BM23" s="69"/>
      <c r="BN23" s="174"/>
      <c r="BO23" s="85"/>
      <c r="BP23" s="69"/>
      <c r="BQ23" s="69"/>
      <c r="BR23" s="69"/>
      <c r="BS23" s="69"/>
      <c r="BT23" s="69"/>
      <c r="BU23" s="69"/>
      <c r="BV23" s="174"/>
      <c r="BW23" s="85"/>
      <c r="BX23" s="69"/>
      <c r="BY23" s="69"/>
      <c r="BZ23" s="69"/>
      <c r="CA23" s="69"/>
      <c r="CB23" s="69"/>
      <c r="CC23" s="69"/>
      <c r="CD23" s="174"/>
      <c r="CE23" s="85"/>
      <c r="CF23" s="69"/>
      <c r="CG23" s="69"/>
      <c r="CH23" s="69"/>
      <c r="CI23" s="69"/>
      <c r="CJ23" s="69"/>
      <c r="CK23" s="69"/>
      <c r="CL23" s="174"/>
      <c r="CM23" s="85"/>
      <c r="CN23" s="69"/>
      <c r="CO23" s="69"/>
      <c r="CP23" s="69"/>
      <c r="CQ23" s="69"/>
      <c r="CR23" s="69"/>
      <c r="CS23" s="69"/>
      <c r="CT23" s="174"/>
      <c r="CU23" s="85"/>
      <c r="CV23" s="69"/>
      <c r="CW23" s="69"/>
      <c r="CX23" s="69"/>
      <c r="CY23" s="69"/>
      <c r="CZ23" s="69"/>
      <c r="DA23" s="69"/>
      <c r="DB23" s="174"/>
      <c r="DC23" s="85"/>
      <c r="DD23" s="69"/>
      <c r="DE23" s="69"/>
      <c r="DF23" s="69"/>
      <c r="DG23" s="69"/>
      <c r="DH23" s="69"/>
      <c r="DI23" s="69"/>
      <c r="DJ23" s="174"/>
      <c r="DK23" s="85"/>
      <c r="DL23" s="69"/>
      <c r="DM23" s="69"/>
      <c r="DN23" s="69"/>
      <c r="DO23" s="69"/>
      <c r="DP23" s="69"/>
      <c r="DQ23" s="69"/>
      <c r="DR23" s="174"/>
      <c r="DS23" s="85"/>
      <c r="DT23" s="69"/>
      <c r="DU23" s="69"/>
      <c r="DV23" s="69"/>
      <c r="DW23" s="69"/>
      <c r="DX23" s="69"/>
      <c r="DY23" s="69"/>
      <c r="DZ23" s="174"/>
      <c r="EA23" s="85"/>
      <c r="EB23" s="69"/>
      <c r="EC23" s="69"/>
      <c r="ED23" s="69"/>
      <c r="EE23" s="69"/>
      <c r="EF23" s="69"/>
      <c r="EG23" s="69"/>
      <c r="EH23" s="174"/>
    </row>
    <row r="24" spans="1:138" ht="15" x14ac:dyDescent="0.2">
      <c r="A24" s="165">
        <v>44326</v>
      </c>
      <c r="B24" s="70">
        <f t="shared" ref="B24:H28" si="28">K24+S24+AA24+AI24+AQ24+AY24+BG24+BO24+BW24+CE24+CM24+CU24+DC24+DK24+DS24+EA24</f>
        <v>0</v>
      </c>
      <c r="C24" s="150">
        <f t="shared" si="28"/>
        <v>0</v>
      </c>
      <c r="D24" s="70">
        <f t="shared" si="28"/>
        <v>0</v>
      </c>
      <c r="E24" s="150">
        <f t="shared" si="28"/>
        <v>0</v>
      </c>
      <c r="F24" s="70">
        <f t="shared" si="28"/>
        <v>0</v>
      </c>
      <c r="G24" s="150">
        <f t="shared" si="28"/>
        <v>0</v>
      </c>
      <c r="H24" s="70">
        <f t="shared" si="28"/>
        <v>0</v>
      </c>
      <c r="I24" s="163">
        <f>SUM(B24:H24)</f>
        <v>0</v>
      </c>
      <c r="J24" s="50"/>
      <c r="K24" s="175"/>
      <c r="L24" s="70"/>
      <c r="M24" s="70"/>
      <c r="N24" s="70"/>
      <c r="O24" s="70"/>
      <c r="P24" s="70"/>
      <c r="Q24" s="70"/>
      <c r="R24" s="172">
        <f>SUM(K24:Q24)</f>
        <v>0</v>
      </c>
      <c r="S24" s="187"/>
      <c r="T24" s="70"/>
      <c r="U24" s="70"/>
      <c r="V24" s="70"/>
      <c r="W24" s="70"/>
      <c r="X24" s="70"/>
      <c r="Y24" s="70"/>
      <c r="Z24" s="172">
        <f>SUM(S24:Y24)</f>
        <v>0</v>
      </c>
      <c r="AA24" s="187"/>
      <c r="AB24" s="70"/>
      <c r="AC24" s="70"/>
      <c r="AD24" s="70"/>
      <c r="AE24" s="70"/>
      <c r="AF24" s="70"/>
      <c r="AG24" s="70"/>
      <c r="AH24" s="172">
        <f>SUM(AA24:AG24)</f>
        <v>0</v>
      </c>
      <c r="AI24" s="85"/>
      <c r="AJ24" s="69"/>
      <c r="AK24" s="69"/>
      <c r="AL24" s="69"/>
      <c r="AM24" s="69"/>
      <c r="AN24" s="69"/>
      <c r="AO24" s="69"/>
      <c r="AP24" s="172">
        <f>SUM(AI24:AO24)</f>
        <v>0</v>
      </c>
      <c r="AQ24" s="85"/>
      <c r="AR24" s="69"/>
      <c r="AS24" s="69"/>
      <c r="AT24" s="69"/>
      <c r="AU24" s="69"/>
      <c r="AV24" s="69"/>
      <c r="AW24" s="69"/>
      <c r="AX24" s="172">
        <f>SUM(AQ24:AW24)</f>
        <v>0</v>
      </c>
      <c r="AY24" s="85"/>
      <c r="AZ24" s="69"/>
      <c r="BA24" s="69"/>
      <c r="BB24" s="69"/>
      <c r="BC24" s="69"/>
      <c r="BD24" s="69"/>
      <c r="BE24" s="69"/>
      <c r="BF24" s="172">
        <f>SUM(AY24:BE24)</f>
        <v>0</v>
      </c>
      <c r="BG24" s="85"/>
      <c r="BH24" s="69"/>
      <c r="BI24" s="69"/>
      <c r="BJ24" s="69"/>
      <c r="BK24" s="69"/>
      <c r="BL24" s="69"/>
      <c r="BM24" s="69"/>
      <c r="BN24" s="172">
        <f>SUM(BG24:BM24)</f>
        <v>0</v>
      </c>
      <c r="BO24" s="85"/>
      <c r="BP24" s="69"/>
      <c r="BQ24" s="69"/>
      <c r="BR24" s="69"/>
      <c r="BS24" s="69"/>
      <c r="BT24" s="69"/>
      <c r="BU24" s="69"/>
      <c r="BV24" s="172">
        <f>SUM(BO24:BU24)</f>
        <v>0</v>
      </c>
      <c r="BW24" s="85"/>
      <c r="BX24" s="69"/>
      <c r="BY24" s="69"/>
      <c r="BZ24" s="69"/>
      <c r="CA24" s="69"/>
      <c r="CB24" s="69"/>
      <c r="CC24" s="69"/>
      <c r="CD24" s="172">
        <f>SUM(BW24:CC24)</f>
        <v>0</v>
      </c>
      <c r="CE24" s="85"/>
      <c r="CF24" s="69"/>
      <c r="CG24" s="69"/>
      <c r="CH24" s="69"/>
      <c r="CI24" s="69"/>
      <c r="CJ24" s="69"/>
      <c r="CK24" s="69"/>
      <c r="CL24" s="172">
        <f>SUM(CE24:CK24)</f>
        <v>0</v>
      </c>
      <c r="CM24" s="85"/>
      <c r="CN24" s="69"/>
      <c r="CO24" s="69"/>
      <c r="CP24" s="69"/>
      <c r="CQ24" s="69"/>
      <c r="CR24" s="69"/>
      <c r="CS24" s="69"/>
      <c r="CT24" s="172">
        <f>SUM(CM24:CS24)</f>
        <v>0</v>
      </c>
      <c r="CU24" s="85"/>
      <c r="CV24" s="69"/>
      <c r="CW24" s="69"/>
      <c r="CX24" s="69"/>
      <c r="CY24" s="69"/>
      <c r="CZ24" s="69"/>
      <c r="DA24" s="69"/>
      <c r="DB24" s="172">
        <f>SUM(CU24:DA24)</f>
        <v>0</v>
      </c>
      <c r="DC24" s="85"/>
      <c r="DD24" s="69"/>
      <c r="DE24" s="69"/>
      <c r="DF24" s="69"/>
      <c r="DG24" s="69"/>
      <c r="DH24" s="69"/>
      <c r="DI24" s="69"/>
      <c r="DJ24" s="172">
        <f>SUM(DC24:DI24)</f>
        <v>0</v>
      </c>
      <c r="DK24" s="85"/>
      <c r="DL24" s="69"/>
      <c r="DM24" s="69"/>
      <c r="DN24" s="69"/>
      <c r="DO24" s="69"/>
      <c r="DP24" s="69"/>
      <c r="DQ24" s="69"/>
      <c r="DR24" s="172">
        <f>SUM(DK24:DQ24)</f>
        <v>0</v>
      </c>
      <c r="DS24" s="85"/>
      <c r="DT24" s="69"/>
      <c r="DU24" s="69"/>
      <c r="DV24" s="69"/>
      <c r="DW24" s="69"/>
      <c r="DX24" s="69"/>
      <c r="DY24" s="69"/>
      <c r="DZ24" s="172">
        <f>SUM(DS24:DY24)</f>
        <v>0</v>
      </c>
      <c r="EA24" s="85"/>
      <c r="EB24" s="69"/>
      <c r="EC24" s="69"/>
      <c r="ED24" s="69"/>
      <c r="EE24" s="69"/>
      <c r="EF24" s="69"/>
      <c r="EG24" s="69"/>
      <c r="EH24" s="172">
        <f>SUM(EA24:EG24)</f>
        <v>0</v>
      </c>
    </row>
    <row r="25" spans="1:138" ht="15" x14ac:dyDescent="0.2">
      <c r="A25" s="165">
        <v>44327</v>
      </c>
      <c r="B25" s="70">
        <f t="shared" si="28"/>
        <v>0</v>
      </c>
      <c r="C25" s="150">
        <f t="shared" si="28"/>
        <v>0</v>
      </c>
      <c r="D25" s="70">
        <f t="shared" si="28"/>
        <v>0</v>
      </c>
      <c r="E25" s="150">
        <f t="shared" si="28"/>
        <v>0</v>
      </c>
      <c r="F25" s="70">
        <f t="shared" si="28"/>
        <v>0</v>
      </c>
      <c r="G25" s="150">
        <f t="shared" si="28"/>
        <v>0</v>
      </c>
      <c r="H25" s="70">
        <f t="shared" si="28"/>
        <v>0</v>
      </c>
      <c r="I25" s="163">
        <f>SUM(B25:H25)</f>
        <v>0</v>
      </c>
      <c r="J25" s="50"/>
      <c r="K25" s="105"/>
      <c r="L25" s="68"/>
      <c r="M25" s="68"/>
      <c r="N25" s="68"/>
      <c r="O25" s="68"/>
      <c r="P25" s="68"/>
      <c r="Q25" s="68"/>
      <c r="R25" s="172">
        <f>SUM(K25:Q25)</f>
        <v>0</v>
      </c>
      <c r="S25" s="71"/>
      <c r="T25" s="68"/>
      <c r="U25" s="68"/>
      <c r="V25" s="68"/>
      <c r="W25" s="68"/>
      <c r="X25" s="68"/>
      <c r="Y25" s="68"/>
      <c r="Z25" s="172">
        <f>SUM(S25:Y25)</f>
        <v>0</v>
      </c>
      <c r="AA25" s="71"/>
      <c r="AB25" s="68"/>
      <c r="AC25" s="68"/>
      <c r="AD25" s="68"/>
      <c r="AE25" s="68"/>
      <c r="AF25" s="68"/>
      <c r="AG25" s="68"/>
      <c r="AH25" s="172">
        <f>SUM(AA25:AG25)</f>
        <v>0</v>
      </c>
      <c r="AI25" s="85"/>
      <c r="AJ25" s="69"/>
      <c r="AK25" s="69"/>
      <c r="AL25" s="69"/>
      <c r="AM25" s="69"/>
      <c r="AN25" s="69"/>
      <c r="AO25" s="69"/>
      <c r="AP25" s="172">
        <f>SUM(AI25:AO25)</f>
        <v>0</v>
      </c>
      <c r="AQ25" s="85"/>
      <c r="AR25" s="69"/>
      <c r="AS25" s="69"/>
      <c r="AT25" s="69"/>
      <c r="AU25" s="69"/>
      <c r="AV25" s="69"/>
      <c r="AW25" s="69"/>
      <c r="AX25" s="172">
        <f>SUM(AQ25:AW25)</f>
        <v>0</v>
      </c>
      <c r="AY25" s="85"/>
      <c r="AZ25" s="69"/>
      <c r="BA25" s="69"/>
      <c r="BB25" s="69"/>
      <c r="BC25" s="69"/>
      <c r="BD25" s="69"/>
      <c r="BE25" s="69"/>
      <c r="BF25" s="172">
        <f>SUM(AY25:BE25)</f>
        <v>0</v>
      </c>
      <c r="BG25" s="85"/>
      <c r="BH25" s="69"/>
      <c r="BI25" s="69"/>
      <c r="BJ25" s="69"/>
      <c r="BK25" s="69"/>
      <c r="BL25" s="69"/>
      <c r="BM25" s="69"/>
      <c r="BN25" s="172">
        <f>SUM(BG25:BM25)</f>
        <v>0</v>
      </c>
      <c r="BO25" s="85"/>
      <c r="BP25" s="69"/>
      <c r="BQ25" s="69"/>
      <c r="BR25" s="69"/>
      <c r="BS25" s="69"/>
      <c r="BT25" s="69"/>
      <c r="BU25" s="69"/>
      <c r="BV25" s="172">
        <f>SUM(BO25:BU25)</f>
        <v>0</v>
      </c>
      <c r="BW25" s="85"/>
      <c r="BX25" s="69"/>
      <c r="BY25" s="69"/>
      <c r="BZ25" s="69"/>
      <c r="CA25" s="69"/>
      <c r="CB25" s="69"/>
      <c r="CC25" s="69"/>
      <c r="CD25" s="172">
        <f>SUM(BW25:CC25)</f>
        <v>0</v>
      </c>
      <c r="CE25" s="85"/>
      <c r="CF25" s="69"/>
      <c r="CG25" s="69"/>
      <c r="CH25" s="69"/>
      <c r="CI25" s="69"/>
      <c r="CJ25" s="69"/>
      <c r="CK25" s="69"/>
      <c r="CL25" s="172">
        <f>SUM(CE25:CK25)</f>
        <v>0</v>
      </c>
      <c r="CM25" s="85"/>
      <c r="CN25" s="69"/>
      <c r="CO25" s="69"/>
      <c r="CP25" s="69"/>
      <c r="CQ25" s="69"/>
      <c r="CR25" s="69"/>
      <c r="CS25" s="69"/>
      <c r="CT25" s="172">
        <f>SUM(CM25:CS25)</f>
        <v>0</v>
      </c>
      <c r="CU25" s="85"/>
      <c r="CV25" s="69"/>
      <c r="CW25" s="69"/>
      <c r="CX25" s="69"/>
      <c r="CY25" s="69"/>
      <c r="CZ25" s="69"/>
      <c r="DA25" s="69"/>
      <c r="DB25" s="172">
        <f>SUM(CU25:DA25)</f>
        <v>0</v>
      </c>
      <c r="DC25" s="85"/>
      <c r="DD25" s="69"/>
      <c r="DE25" s="69"/>
      <c r="DF25" s="69"/>
      <c r="DG25" s="69"/>
      <c r="DH25" s="69"/>
      <c r="DI25" s="69"/>
      <c r="DJ25" s="172">
        <f>SUM(DC25:DI25)</f>
        <v>0</v>
      </c>
      <c r="DK25" s="85"/>
      <c r="DL25" s="69"/>
      <c r="DM25" s="69"/>
      <c r="DN25" s="69"/>
      <c r="DO25" s="69"/>
      <c r="DP25" s="69"/>
      <c r="DQ25" s="69"/>
      <c r="DR25" s="172">
        <f>SUM(DK25:DQ25)</f>
        <v>0</v>
      </c>
      <c r="DS25" s="85"/>
      <c r="DT25" s="69"/>
      <c r="DU25" s="69"/>
      <c r="DV25" s="69"/>
      <c r="DW25" s="69"/>
      <c r="DX25" s="69"/>
      <c r="DY25" s="69"/>
      <c r="DZ25" s="172">
        <f>SUM(DS25:DY25)</f>
        <v>0</v>
      </c>
      <c r="EA25" s="85"/>
      <c r="EB25" s="69"/>
      <c r="EC25" s="69"/>
      <c r="ED25" s="69"/>
      <c r="EE25" s="69"/>
      <c r="EF25" s="69"/>
      <c r="EG25" s="69"/>
      <c r="EH25" s="172">
        <f>SUM(EA25:EG25)</f>
        <v>0</v>
      </c>
    </row>
    <row r="26" spans="1:138" ht="15" x14ac:dyDescent="0.2">
      <c r="A26" s="162">
        <v>44328</v>
      </c>
      <c r="B26" s="70">
        <f t="shared" si="28"/>
        <v>0</v>
      </c>
      <c r="C26" s="150">
        <f t="shared" si="28"/>
        <v>0</v>
      </c>
      <c r="D26" s="70">
        <f t="shared" si="28"/>
        <v>0</v>
      </c>
      <c r="E26" s="150">
        <f t="shared" si="28"/>
        <v>0</v>
      </c>
      <c r="F26" s="70">
        <f t="shared" si="28"/>
        <v>0</v>
      </c>
      <c r="G26" s="150">
        <f t="shared" si="28"/>
        <v>0</v>
      </c>
      <c r="H26" s="70">
        <f t="shared" si="28"/>
        <v>0</v>
      </c>
      <c r="I26" s="163">
        <f>SUM(B26:H26)</f>
        <v>0</v>
      </c>
      <c r="J26" s="50"/>
      <c r="K26" s="105"/>
      <c r="L26" s="68"/>
      <c r="M26" s="68"/>
      <c r="N26" s="68"/>
      <c r="O26" s="68"/>
      <c r="P26" s="68"/>
      <c r="Q26" s="68"/>
      <c r="R26" s="172">
        <f>SUM(K26:Q26)</f>
        <v>0</v>
      </c>
      <c r="S26" s="71"/>
      <c r="T26" s="68"/>
      <c r="U26" s="68"/>
      <c r="V26" s="68"/>
      <c r="W26" s="68"/>
      <c r="X26" s="68"/>
      <c r="Y26" s="68"/>
      <c r="Z26" s="172">
        <f>SUM(S26:Y26)</f>
        <v>0</v>
      </c>
      <c r="AA26" s="71"/>
      <c r="AB26" s="68"/>
      <c r="AC26" s="68"/>
      <c r="AD26" s="68"/>
      <c r="AE26" s="68"/>
      <c r="AF26" s="68"/>
      <c r="AG26" s="68"/>
      <c r="AH26" s="172">
        <f>SUM(AA26:AG26)</f>
        <v>0</v>
      </c>
      <c r="AI26" s="85"/>
      <c r="AJ26" s="69"/>
      <c r="AK26" s="69"/>
      <c r="AL26" s="69"/>
      <c r="AM26" s="69"/>
      <c r="AN26" s="69"/>
      <c r="AO26" s="69"/>
      <c r="AP26" s="172">
        <f>SUM(AI26:AO26)</f>
        <v>0</v>
      </c>
      <c r="AQ26" s="85"/>
      <c r="AR26" s="69"/>
      <c r="AS26" s="69"/>
      <c r="AT26" s="69"/>
      <c r="AU26" s="69"/>
      <c r="AV26" s="69"/>
      <c r="AW26" s="69"/>
      <c r="AX26" s="172">
        <f>SUM(AQ26:AW26)</f>
        <v>0</v>
      </c>
      <c r="AY26" s="85"/>
      <c r="AZ26" s="69"/>
      <c r="BA26" s="69"/>
      <c r="BB26" s="69"/>
      <c r="BC26" s="69"/>
      <c r="BD26" s="69"/>
      <c r="BE26" s="69"/>
      <c r="BF26" s="172">
        <f>SUM(AY26:BE26)</f>
        <v>0</v>
      </c>
      <c r="BG26" s="85"/>
      <c r="BH26" s="69"/>
      <c r="BI26" s="69"/>
      <c r="BJ26" s="69"/>
      <c r="BK26" s="69"/>
      <c r="BL26" s="69"/>
      <c r="BM26" s="69"/>
      <c r="BN26" s="172">
        <f>SUM(BG26:BM26)</f>
        <v>0</v>
      </c>
      <c r="BO26" s="85"/>
      <c r="BP26" s="69"/>
      <c r="BQ26" s="69"/>
      <c r="BR26" s="69"/>
      <c r="BS26" s="69"/>
      <c r="BT26" s="69"/>
      <c r="BU26" s="69"/>
      <c r="BV26" s="172">
        <f>SUM(BO26:BU26)</f>
        <v>0</v>
      </c>
      <c r="BW26" s="85"/>
      <c r="BX26" s="69"/>
      <c r="BY26" s="69"/>
      <c r="BZ26" s="69"/>
      <c r="CA26" s="69"/>
      <c r="CB26" s="69"/>
      <c r="CC26" s="69"/>
      <c r="CD26" s="172">
        <f>SUM(BW26:CC26)</f>
        <v>0</v>
      </c>
      <c r="CE26" s="85"/>
      <c r="CF26" s="69"/>
      <c r="CG26" s="69"/>
      <c r="CH26" s="69"/>
      <c r="CI26" s="69"/>
      <c r="CJ26" s="69"/>
      <c r="CK26" s="69"/>
      <c r="CL26" s="172">
        <f>SUM(CE26:CK26)</f>
        <v>0</v>
      </c>
      <c r="CM26" s="85"/>
      <c r="CN26" s="69"/>
      <c r="CO26" s="69"/>
      <c r="CP26" s="69"/>
      <c r="CQ26" s="69"/>
      <c r="CR26" s="69"/>
      <c r="CS26" s="69"/>
      <c r="CT26" s="172">
        <f>SUM(CM26:CS26)</f>
        <v>0</v>
      </c>
      <c r="CU26" s="85"/>
      <c r="CV26" s="69"/>
      <c r="CW26" s="69"/>
      <c r="CX26" s="69"/>
      <c r="CY26" s="69"/>
      <c r="CZ26" s="69"/>
      <c r="DA26" s="69"/>
      <c r="DB26" s="172">
        <f>SUM(CU26:DA26)</f>
        <v>0</v>
      </c>
      <c r="DC26" s="85"/>
      <c r="DD26" s="69"/>
      <c r="DE26" s="69"/>
      <c r="DF26" s="69"/>
      <c r="DG26" s="69"/>
      <c r="DH26" s="69"/>
      <c r="DI26" s="69"/>
      <c r="DJ26" s="172">
        <f>SUM(DC26:DI26)</f>
        <v>0</v>
      </c>
      <c r="DK26" s="85"/>
      <c r="DL26" s="69"/>
      <c r="DM26" s="69"/>
      <c r="DN26" s="69"/>
      <c r="DO26" s="69"/>
      <c r="DP26" s="69"/>
      <c r="DQ26" s="69"/>
      <c r="DR26" s="172">
        <f>SUM(DK26:DQ26)</f>
        <v>0</v>
      </c>
      <c r="DS26" s="85"/>
      <c r="DT26" s="69"/>
      <c r="DU26" s="69"/>
      <c r="DV26" s="69"/>
      <c r="DW26" s="69"/>
      <c r="DX26" s="69"/>
      <c r="DY26" s="69"/>
      <c r="DZ26" s="172">
        <f>SUM(DS26:DY26)</f>
        <v>0</v>
      </c>
      <c r="EA26" s="85"/>
      <c r="EB26" s="69"/>
      <c r="EC26" s="69"/>
      <c r="ED26" s="69"/>
      <c r="EE26" s="69"/>
      <c r="EF26" s="69"/>
      <c r="EG26" s="69"/>
      <c r="EH26" s="172">
        <f>SUM(EA26:EG26)</f>
        <v>0</v>
      </c>
    </row>
    <row r="27" spans="1:138" ht="15" x14ac:dyDescent="0.2">
      <c r="A27" s="162">
        <v>44329</v>
      </c>
      <c r="B27" s="70">
        <f t="shared" si="28"/>
        <v>0</v>
      </c>
      <c r="C27" s="150">
        <f t="shared" si="28"/>
        <v>0</v>
      </c>
      <c r="D27" s="70">
        <f t="shared" si="28"/>
        <v>0</v>
      </c>
      <c r="E27" s="150">
        <f t="shared" si="28"/>
        <v>0</v>
      </c>
      <c r="F27" s="70">
        <f t="shared" si="28"/>
        <v>0</v>
      </c>
      <c r="G27" s="150">
        <f t="shared" si="28"/>
        <v>0</v>
      </c>
      <c r="H27" s="70">
        <f t="shared" si="28"/>
        <v>0</v>
      </c>
      <c r="I27" s="163">
        <f>SUM(B27:H27)</f>
        <v>0</v>
      </c>
      <c r="J27" s="50"/>
      <c r="K27" s="105"/>
      <c r="L27" s="68"/>
      <c r="M27" s="68"/>
      <c r="N27" s="68"/>
      <c r="O27" s="68"/>
      <c r="P27" s="68"/>
      <c r="Q27" s="68"/>
      <c r="R27" s="172">
        <f>SUM(K27:Q27)</f>
        <v>0</v>
      </c>
      <c r="S27" s="71"/>
      <c r="T27" s="68"/>
      <c r="U27" s="68"/>
      <c r="V27" s="68"/>
      <c r="W27" s="68"/>
      <c r="X27" s="68"/>
      <c r="Y27" s="68"/>
      <c r="Z27" s="172">
        <f>SUM(S27:Y27)</f>
        <v>0</v>
      </c>
      <c r="AA27" s="71"/>
      <c r="AB27" s="68"/>
      <c r="AC27" s="68"/>
      <c r="AD27" s="68"/>
      <c r="AE27" s="68"/>
      <c r="AF27" s="68"/>
      <c r="AG27" s="68"/>
      <c r="AH27" s="172">
        <f>SUM(AA27:AG27)</f>
        <v>0</v>
      </c>
      <c r="AI27" s="85"/>
      <c r="AJ27" s="69"/>
      <c r="AK27" s="69"/>
      <c r="AL27" s="69"/>
      <c r="AM27" s="69"/>
      <c r="AN27" s="69"/>
      <c r="AO27" s="69"/>
      <c r="AP27" s="172">
        <f>SUM(AI27:AO27)</f>
        <v>0</v>
      </c>
      <c r="AQ27" s="85"/>
      <c r="AR27" s="69"/>
      <c r="AS27" s="69"/>
      <c r="AT27" s="69"/>
      <c r="AU27" s="69"/>
      <c r="AV27" s="69"/>
      <c r="AW27" s="69"/>
      <c r="AX27" s="172">
        <f>SUM(AQ27:AW27)</f>
        <v>0</v>
      </c>
      <c r="AY27" s="85"/>
      <c r="AZ27" s="69"/>
      <c r="BA27" s="69"/>
      <c r="BB27" s="69"/>
      <c r="BC27" s="69"/>
      <c r="BD27" s="69"/>
      <c r="BE27" s="69"/>
      <c r="BF27" s="172">
        <f>SUM(AY27:BE27)</f>
        <v>0</v>
      </c>
      <c r="BG27" s="85"/>
      <c r="BH27" s="69"/>
      <c r="BI27" s="69"/>
      <c r="BJ27" s="69"/>
      <c r="BK27" s="69"/>
      <c r="BL27" s="69"/>
      <c r="BM27" s="69"/>
      <c r="BN27" s="172">
        <f>SUM(BG27:BM27)</f>
        <v>0</v>
      </c>
      <c r="BO27" s="85"/>
      <c r="BP27" s="69"/>
      <c r="BQ27" s="69"/>
      <c r="BR27" s="69"/>
      <c r="BS27" s="69"/>
      <c r="BT27" s="69"/>
      <c r="BU27" s="69"/>
      <c r="BV27" s="172">
        <f>SUM(BO27:BU27)</f>
        <v>0</v>
      </c>
      <c r="BW27" s="85"/>
      <c r="BX27" s="69"/>
      <c r="BY27" s="69"/>
      <c r="BZ27" s="69"/>
      <c r="CA27" s="69"/>
      <c r="CB27" s="69"/>
      <c r="CC27" s="69"/>
      <c r="CD27" s="172">
        <f>SUM(BW27:CC27)</f>
        <v>0</v>
      </c>
      <c r="CE27" s="85"/>
      <c r="CF27" s="69"/>
      <c r="CG27" s="69"/>
      <c r="CH27" s="69"/>
      <c r="CI27" s="69"/>
      <c r="CJ27" s="69"/>
      <c r="CK27" s="69"/>
      <c r="CL27" s="172">
        <f>SUM(CE27:CK27)</f>
        <v>0</v>
      </c>
      <c r="CM27" s="85"/>
      <c r="CN27" s="69"/>
      <c r="CO27" s="69"/>
      <c r="CP27" s="69"/>
      <c r="CQ27" s="69"/>
      <c r="CR27" s="69"/>
      <c r="CS27" s="69"/>
      <c r="CT27" s="172">
        <f>SUM(CM27:CS27)</f>
        <v>0</v>
      </c>
      <c r="CU27" s="85"/>
      <c r="CV27" s="69"/>
      <c r="CW27" s="69"/>
      <c r="CX27" s="69"/>
      <c r="CY27" s="69"/>
      <c r="CZ27" s="69"/>
      <c r="DA27" s="69"/>
      <c r="DB27" s="172">
        <f>SUM(CU27:DA27)</f>
        <v>0</v>
      </c>
      <c r="DC27" s="85"/>
      <c r="DD27" s="69"/>
      <c r="DE27" s="69"/>
      <c r="DF27" s="69"/>
      <c r="DG27" s="69"/>
      <c r="DH27" s="69"/>
      <c r="DI27" s="69"/>
      <c r="DJ27" s="172">
        <f>SUM(DC27:DI27)</f>
        <v>0</v>
      </c>
      <c r="DK27" s="85"/>
      <c r="DL27" s="69"/>
      <c r="DM27" s="69"/>
      <c r="DN27" s="69"/>
      <c r="DO27" s="69"/>
      <c r="DP27" s="69"/>
      <c r="DQ27" s="69"/>
      <c r="DR27" s="172">
        <f>SUM(DK27:DQ27)</f>
        <v>0</v>
      </c>
      <c r="DS27" s="85"/>
      <c r="DT27" s="69"/>
      <c r="DU27" s="69"/>
      <c r="DV27" s="69"/>
      <c r="DW27" s="69"/>
      <c r="DX27" s="69"/>
      <c r="DY27" s="69"/>
      <c r="DZ27" s="172">
        <f>SUM(DS27:DY27)</f>
        <v>0</v>
      </c>
      <c r="EA27" s="85"/>
      <c r="EB27" s="69"/>
      <c r="EC27" s="69"/>
      <c r="ED27" s="69"/>
      <c r="EE27" s="69"/>
      <c r="EF27" s="69"/>
      <c r="EG27" s="69"/>
      <c r="EH27" s="172">
        <f>SUM(EA27:EG27)</f>
        <v>0</v>
      </c>
    </row>
    <row r="28" spans="1:138" ht="15" x14ac:dyDescent="0.2">
      <c r="A28" s="162">
        <v>44330</v>
      </c>
      <c r="B28" s="70">
        <f t="shared" si="28"/>
        <v>0</v>
      </c>
      <c r="C28" s="150">
        <f t="shared" si="28"/>
        <v>0</v>
      </c>
      <c r="D28" s="70">
        <f t="shared" si="28"/>
        <v>0</v>
      </c>
      <c r="E28" s="150">
        <f t="shared" si="28"/>
        <v>0</v>
      </c>
      <c r="F28" s="70">
        <f t="shared" si="28"/>
        <v>0</v>
      </c>
      <c r="G28" s="150">
        <f t="shared" si="28"/>
        <v>0</v>
      </c>
      <c r="H28" s="70">
        <f t="shared" si="28"/>
        <v>0</v>
      </c>
      <c r="I28" s="163">
        <f>SUM(B28:H28)</f>
        <v>0</v>
      </c>
      <c r="J28" s="50"/>
      <c r="K28" s="105"/>
      <c r="L28" s="68"/>
      <c r="M28" s="68"/>
      <c r="N28" s="68"/>
      <c r="O28" s="68"/>
      <c r="P28" s="68"/>
      <c r="Q28" s="68"/>
      <c r="R28" s="172">
        <f>SUM(K28:Q28)</f>
        <v>0</v>
      </c>
      <c r="S28" s="71"/>
      <c r="T28" s="68"/>
      <c r="U28" s="68"/>
      <c r="V28" s="68"/>
      <c r="W28" s="68"/>
      <c r="X28" s="68"/>
      <c r="Y28" s="68"/>
      <c r="Z28" s="172">
        <f>SUM(S28:Y28)</f>
        <v>0</v>
      </c>
      <c r="AA28" s="71"/>
      <c r="AB28" s="68"/>
      <c r="AC28" s="68"/>
      <c r="AD28" s="68"/>
      <c r="AE28" s="68"/>
      <c r="AF28" s="68"/>
      <c r="AG28" s="68"/>
      <c r="AH28" s="172">
        <f>SUM(AA28:AG28)</f>
        <v>0</v>
      </c>
      <c r="AI28" s="85"/>
      <c r="AJ28" s="69"/>
      <c r="AK28" s="69"/>
      <c r="AL28" s="69"/>
      <c r="AM28" s="69"/>
      <c r="AN28" s="69"/>
      <c r="AO28" s="69"/>
      <c r="AP28" s="172">
        <f>SUM(AI28:AO28)</f>
        <v>0</v>
      </c>
      <c r="AQ28" s="85"/>
      <c r="AR28" s="69"/>
      <c r="AS28" s="69"/>
      <c r="AT28" s="69"/>
      <c r="AU28" s="69"/>
      <c r="AV28" s="69"/>
      <c r="AW28" s="69"/>
      <c r="AX28" s="172">
        <f>SUM(AQ28:AW28)</f>
        <v>0</v>
      </c>
      <c r="AY28" s="85"/>
      <c r="AZ28" s="69"/>
      <c r="BA28" s="69"/>
      <c r="BB28" s="69"/>
      <c r="BC28" s="69"/>
      <c r="BD28" s="69"/>
      <c r="BE28" s="69"/>
      <c r="BF28" s="172">
        <f>SUM(AY28:BE28)</f>
        <v>0</v>
      </c>
      <c r="BG28" s="85"/>
      <c r="BH28" s="69"/>
      <c r="BI28" s="69"/>
      <c r="BJ28" s="69"/>
      <c r="BK28" s="69"/>
      <c r="BL28" s="69"/>
      <c r="BM28" s="69"/>
      <c r="BN28" s="172">
        <f>SUM(BG28:BM28)</f>
        <v>0</v>
      </c>
      <c r="BO28" s="85"/>
      <c r="BP28" s="69"/>
      <c r="BQ28" s="69"/>
      <c r="BR28" s="69"/>
      <c r="BS28" s="69"/>
      <c r="BT28" s="69"/>
      <c r="BU28" s="69"/>
      <c r="BV28" s="172">
        <f>SUM(BO28:BU28)</f>
        <v>0</v>
      </c>
      <c r="BW28" s="85"/>
      <c r="BX28" s="69"/>
      <c r="BY28" s="69"/>
      <c r="BZ28" s="69"/>
      <c r="CA28" s="69"/>
      <c r="CB28" s="69"/>
      <c r="CC28" s="69"/>
      <c r="CD28" s="172">
        <f>SUM(BW28:CC28)</f>
        <v>0</v>
      </c>
      <c r="CE28" s="85"/>
      <c r="CF28" s="69"/>
      <c r="CG28" s="69"/>
      <c r="CH28" s="69"/>
      <c r="CI28" s="69"/>
      <c r="CJ28" s="69"/>
      <c r="CK28" s="69"/>
      <c r="CL28" s="172">
        <f>SUM(CE28:CK28)</f>
        <v>0</v>
      </c>
      <c r="CM28" s="85"/>
      <c r="CN28" s="69"/>
      <c r="CO28" s="69"/>
      <c r="CP28" s="69"/>
      <c r="CQ28" s="69"/>
      <c r="CR28" s="69"/>
      <c r="CS28" s="69"/>
      <c r="CT28" s="172">
        <f>SUM(CM28:CS28)</f>
        <v>0</v>
      </c>
      <c r="CU28" s="85"/>
      <c r="CV28" s="69"/>
      <c r="CW28" s="69"/>
      <c r="CX28" s="69"/>
      <c r="CY28" s="69"/>
      <c r="CZ28" s="69"/>
      <c r="DA28" s="69"/>
      <c r="DB28" s="172">
        <f>SUM(CU28:DA28)</f>
        <v>0</v>
      </c>
      <c r="DC28" s="85"/>
      <c r="DD28" s="69"/>
      <c r="DE28" s="69"/>
      <c r="DF28" s="69"/>
      <c r="DG28" s="69"/>
      <c r="DH28" s="69"/>
      <c r="DI28" s="69"/>
      <c r="DJ28" s="172">
        <f>SUM(DC28:DI28)</f>
        <v>0</v>
      </c>
      <c r="DK28" s="85"/>
      <c r="DL28" s="69"/>
      <c r="DM28" s="69"/>
      <c r="DN28" s="69"/>
      <c r="DO28" s="69"/>
      <c r="DP28" s="69"/>
      <c r="DQ28" s="69"/>
      <c r="DR28" s="172">
        <f>SUM(DK28:DQ28)</f>
        <v>0</v>
      </c>
      <c r="DS28" s="85"/>
      <c r="DT28" s="69"/>
      <c r="DU28" s="69"/>
      <c r="DV28" s="69"/>
      <c r="DW28" s="69"/>
      <c r="DX28" s="69"/>
      <c r="DY28" s="69"/>
      <c r="DZ28" s="172">
        <f>SUM(DS28:DY28)</f>
        <v>0</v>
      </c>
      <c r="EA28" s="85"/>
      <c r="EB28" s="69"/>
      <c r="EC28" s="69"/>
      <c r="ED28" s="69"/>
      <c r="EE28" s="69"/>
      <c r="EF28" s="69"/>
      <c r="EG28" s="69"/>
      <c r="EH28" s="172">
        <f>SUM(EA28:EG28)</f>
        <v>0</v>
      </c>
    </row>
    <row r="29" spans="1:138" ht="15" x14ac:dyDescent="0.2">
      <c r="A29" s="164">
        <v>44331</v>
      </c>
      <c r="B29" s="69"/>
      <c r="C29" s="69"/>
      <c r="D29" s="69"/>
      <c r="E29" s="69"/>
      <c r="F29" s="69"/>
      <c r="G29" s="69"/>
      <c r="H29" s="69"/>
      <c r="I29" s="69"/>
      <c r="J29" s="50"/>
      <c r="K29" s="173"/>
      <c r="L29" s="69"/>
      <c r="M29" s="69"/>
      <c r="N29" s="69"/>
      <c r="O29" s="69"/>
      <c r="P29" s="69"/>
      <c r="Q29" s="69"/>
      <c r="R29" s="174"/>
      <c r="S29" s="85"/>
      <c r="T29" s="69"/>
      <c r="U29" s="69"/>
      <c r="V29" s="69"/>
      <c r="W29" s="69"/>
      <c r="X29" s="69"/>
      <c r="Y29" s="69"/>
      <c r="Z29" s="174"/>
      <c r="AA29" s="85"/>
      <c r="AB29" s="69"/>
      <c r="AC29" s="69"/>
      <c r="AD29" s="69"/>
      <c r="AE29" s="69"/>
      <c r="AF29" s="69"/>
      <c r="AG29" s="69"/>
      <c r="AH29" s="174"/>
      <c r="AI29" s="85"/>
      <c r="AJ29" s="69"/>
      <c r="AK29" s="69"/>
      <c r="AL29" s="69"/>
      <c r="AM29" s="69"/>
      <c r="AN29" s="69"/>
      <c r="AO29" s="69"/>
      <c r="AP29" s="174"/>
      <c r="AQ29" s="85"/>
      <c r="AR29" s="69"/>
      <c r="AS29" s="69"/>
      <c r="AT29" s="69"/>
      <c r="AU29" s="69"/>
      <c r="AV29" s="69"/>
      <c r="AW29" s="69"/>
      <c r="AX29" s="174"/>
      <c r="AY29" s="85"/>
      <c r="AZ29" s="69"/>
      <c r="BA29" s="69"/>
      <c r="BB29" s="69"/>
      <c r="BC29" s="69"/>
      <c r="BD29" s="69"/>
      <c r="BE29" s="69"/>
      <c r="BF29" s="174"/>
      <c r="BG29" s="85"/>
      <c r="BH29" s="69"/>
      <c r="BI29" s="69"/>
      <c r="BJ29" s="69"/>
      <c r="BK29" s="69"/>
      <c r="BL29" s="69"/>
      <c r="BM29" s="69"/>
      <c r="BN29" s="174"/>
      <c r="BO29" s="85"/>
      <c r="BP29" s="69"/>
      <c r="BQ29" s="69"/>
      <c r="BR29" s="69"/>
      <c r="BS29" s="69"/>
      <c r="BT29" s="69"/>
      <c r="BU29" s="69"/>
      <c r="BV29" s="174"/>
      <c r="BW29" s="85"/>
      <c r="BX29" s="69"/>
      <c r="BY29" s="69"/>
      <c r="BZ29" s="69"/>
      <c r="CA29" s="69"/>
      <c r="CB29" s="69"/>
      <c r="CC29" s="69"/>
      <c r="CD29" s="174"/>
      <c r="CE29" s="85"/>
      <c r="CF29" s="69"/>
      <c r="CG29" s="69"/>
      <c r="CH29" s="69"/>
      <c r="CI29" s="69"/>
      <c r="CJ29" s="69"/>
      <c r="CK29" s="69"/>
      <c r="CL29" s="174"/>
      <c r="CM29" s="85"/>
      <c r="CN29" s="69"/>
      <c r="CO29" s="69"/>
      <c r="CP29" s="69"/>
      <c r="CQ29" s="69"/>
      <c r="CR29" s="69"/>
      <c r="CS29" s="69"/>
      <c r="CT29" s="174"/>
      <c r="CU29" s="85"/>
      <c r="CV29" s="69"/>
      <c r="CW29" s="69"/>
      <c r="CX29" s="69"/>
      <c r="CY29" s="69"/>
      <c r="CZ29" s="69"/>
      <c r="DA29" s="69"/>
      <c r="DB29" s="174"/>
      <c r="DC29" s="85"/>
      <c r="DD29" s="69"/>
      <c r="DE29" s="69"/>
      <c r="DF29" s="69"/>
      <c r="DG29" s="69"/>
      <c r="DH29" s="69"/>
      <c r="DI29" s="69"/>
      <c r="DJ29" s="174"/>
      <c r="DK29" s="85"/>
      <c r="DL29" s="69"/>
      <c r="DM29" s="69"/>
      <c r="DN29" s="69"/>
      <c r="DO29" s="69"/>
      <c r="DP29" s="69"/>
      <c r="DQ29" s="69"/>
      <c r="DR29" s="174"/>
      <c r="DS29" s="85"/>
      <c r="DT29" s="69"/>
      <c r="DU29" s="69"/>
      <c r="DV29" s="69"/>
      <c r="DW29" s="69"/>
      <c r="DX29" s="69"/>
      <c r="DY29" s="69"/>
      <c r="DZ29" s="174"/>
      <c r="EA29" s="85"/>
      <c r="EB29" s="69"/>
      <c r="EC29" s="69"/>
      <c r="ED29" s="69"/>
      <c r="EE29" s="69"/>
      <c r="EF29" s="69"/>
      <c r="EG29" s="69"/>
      <c r="EH29" s="174"/>
    </row>
    <row r="30" spans="1:138" ht="15" x14ac:dyDescent="0.2">
      <c r="A30" s="164">
        <v>44332</v>
      </c>
      <c r="B30" s="69"/>
      <c r="C30" s="69"/>
      <c r="D30" s="69"/>
      <c r="E30" s="69"/>
      <c r="F30" s="69"/>
      <c r="G30" s="69"/>
      <c r="H30" s="69"/>
      <c r="I30" s="69"/>
      <c r="J30" s="50"/>
      <c r="K30" s="173"/>
      <c r="L30" s="69"/>
      <c r="M30" s="69"/>
      <c r="N30" s="69"/>
      <c r="O30" s="69"/>
      <c r="P30" s="69"/>
      <c r="Q30" s="69"/>
      <c r="R30" s="174"/>
      <c r="S30" s="85"/>
      <c r="T30" s="69"/>
      <c r="U30" s="69"/>
      <c r="V30" s="69"/>
      <c r="W30" s="69"/>
      <c r="X30" s="69"/>
      <c r="Y30" s="69"/>
      <c r="Z30" s="174"/>
      <c r="AA30" s="85"/>
      <c r="AB30" s="69"/>
      <c r="AC30" s="69"/>
      <c r="AD30" s="69"/>
      <c r="AE30" s="69"/>
      <c r="AF30" s="69"/>
      <c r="AG30" s="69"/>
      <c r="AH30" s="174"/>
      <c r="AI30" s="85"/>
      <c r="AJ30" s="69"/>
      <c r="AK30" s="69"/>
      <c r="AL30" s="69"/>
      <c r="AM30" s="69"/>
      <c r="AN30" s="69"/>
      <c r="AO30" s="69"/>
      <c r="AP30" s="174"/>
      <c r="AQ30" s="85"/>
      <c r="AR30" s="69"/>
      <c r="AS30" s="69"/>
      <c r="AT30" s="69"/>
      <c r="AU30" s="69"/>
      <c r="AV30" s="69"/>
      <c r="AW30" s="69"/>
      <c r="AX30" s="174"/>
      <c r="AY30" s="85"/>
      <c r="AZ30" s="69"/>
      <c r="BA30" s="69"/>
      <c r="BB30" s="69"/>
      <c r="BC30" s="69"/>
      <c r="BD30" s="69"/>
      <c r="BE30" s="69"/>
      <c r="BF30" s="174"/>
      <c r="BG30" s="85"/>
      <c r="BH30" s="69"/>
      <c r="BI30" s="69"/>
      <c r="BJ30" s="69"/>
      <c r="BK30" s="69"/>
      <c r="BL30" s="69"/>
      <c r="BM30" s="69"/>
      <c r="BN30" s="174"/>
      <c r="BO30" s="85"/>
      <c r="BP30" s="69"/>
      <c r="BQ30" s="69"/>
      <c r="BR30" s="69"/>
      <c r="BS30" s="69"/>
      <c r="BT30" s="69"/>
      <c r="BU30" s="69"/>
      <c r="BV30" s="174"/>
      <c r="BW30" s="85"/>
      <c r="BX30" s="69"/>
      <c r="BY30" s="69"/>
      <c r="BZ30" s="69"/>
      <c r="CA30" s="69"/>
      <c r="CB30" s="69"/>
      <c r="CC30" s="69"/>
      <c r="CD30" s="174"/>
      <c r="CE30" s="85"/>
      <c r="CF30" s="69"/>
      <c r="CG30" s="69"/>
      <c r="CH30" s="69"/>
      <c r="CI30" s="69"/>
      <c r="CJ30" s="69"/>
      <c r="CK30" s="69"/>
      <c r="CL30" s="174"/>
      <c r="CM30" s="85"/>
      <c r="CN30" s="69"/>
      <c r="CO30" s="69"/>
      <c r="CP30" s="69"/>
      <c r="CQ30" s="69"/>
      <c r="CR30" s="69"/>
      <c r="CS30" s="69"/>
      <c r="CT30" s="174"/>
      <c r="CU30" s="85"/>
      <c r="CV30" s="69"/>
      <c r="CW30" s="69"/>
      <c r="CX30" s="69"/>
      <c r="CY30" s="69"/>
      <c r="CZ30" s="69"/>
      <c r="DA30" s="69"/>
      <c r="DB30" s="174"/>
      <c r="DC30" s="85"/>
      <c r="DD30" s="69"/>
      <c r="DE30" s="69"/>
      <c r="DF30" s="69"/>
      <c r="DG30" s="69"/>
      <c r="DH30" s="69"/>
      <c r="DI30" s="69"/>
      <c r="DJ30" s="174"/>
      <c r="DK30" s="85"/>
      <c r="DL30" s="69"/>
      <c r="DM30" s="69"/>
      <c r="DN30" s="69"/>
      <c r="DO30" s="69"/>
      <c r="DP30" s="69"/>
      <c r="DQ30" s="69"/>
      <c r="DR30" s="174"/>
      <c r="DS30" s="85"/>
      <c r="DT30" s="69"/>
      <c r="DU30" s="69"/>
      <c r="DV30" s="69"/>
      <c r="DW30" s="69"/>
      <c r="DX30" s="69"/>
      <c r="DY30" s="69"/>
      <c r="DZ30" s="174"/>
      <c r="EA30" s="85"/>
      <c r="EB30" s="69"/>
      <c r="EC30" s="69"/>
      <c r="ED30" s="69"/>
      <c r="EE30" s="69"/>
      <c r="EF30" s="69"/>
      <c r="EG30" s="69"/>
      <c r="EH30" s="174"/>
    </row>
    <row r="31" spans="1:138" ht="15" x14ac:dyDescent="0.2">
      <c r="A31" s="165">
        <v>44333</v>
      </c>
      <c r="B31" s="70">
        <f t="shared" ref="B31:H35" si="29">K31+S31+AA31+AI31+AQ31+AY31+BG31+BO31+BW31+CE31+CM31+CU31+DC31+DK31+DS31+EA31</f>
        <v>0</v>
      </c>
      <c r="C31" s="150">
        <f t="shared" si="29"/>
        <v>0</v>
      </c>
      <c r="D31" s="70">
        <f t="shared" si="29"/>
        <v>0</v>
      </c>
      <c r="E31" s="150">
        <f t="shared" si="29"/>
        <v>0</v>
      </c>
      <c r="F31" s="70">
        <f t="shared" si="29"/>
        <v>0</v>
      </c>
      <c r="G31" s="150">
        <f t="shared" si="29"/>
        <v>0</v>
      </c>
      <c r="H31" s="70">
        <f t="shared" si="29"/>
        <v>0</v>
      </c>
      <c r="I31" s="163">
        <f>SUM(B31:H31)</f>
        <v>0</v>
      </c>
      <c r="J31" s="50"/>
      <c r="K31" s="175"/>
      <c r="L31" s="70"/>
      <c r="M31" s="70"/>
      <c r="N31" s="70"/>
      <c r="O31" s="70"/>
      <c r="P31" s="70"/>
      <c r="Q31" s="70"/>
      <c r="R31" s="172">
        <f>SUM(K31:Q31)</f>
        <v>0</v>
      </c>
      <c r="S31" s="187"/>
      <c r="T31" s="70"/>
      <c r="U31" s="70"/>
      <c r="V31" s="70"/>
      <c r="W31" s="70"/>
      <c r="X31" s="70"/>
      <c r="Y31" s="70"/>
      <c r="Z31" s="172">
        <f>SUM(S31:Y31)</f>
        <v>0</v>
      </c>
      <c r="AA31" s="187"/>
      <c r="AB31" s="70"/>
      <c r="AC31" s="70"/>
      <c r="AD31" s="70"/>
      <c r="AE31" s="70"/>
      <c r="AF31" s="70"/>
      <c r="AG31" s="70"/>
      <c r="AH31" s="172">
        <f>SUM(AA31:AG31)</f>
        <v>0</v>
      </c>
      <c r="AI31" s="85"/>
      <c r="AJ31" s="69"/>
      <c r="AK31" s="69"/>
      <c r="AL31" s="69"/>
      <c r="AM31" s="69"/>
      <c r="AN31" s="69"/>
      <c r="AO31" s="69"/>
      <c r="AP31" s="172">
        <f>SUM(AI31:AO31)</f>
        <v>0</v>
      </c>
      <c r="AQ31" s="85"/>
      <c r="AR31" s="69"/>
      <c r="AS31" s="69"/>
      <c r="AT31" s="69"/>
      <c r="AU31" s="69"/>
      <c r="AV31" s="69"/>
      <c r="AW31" s="69"/>
      <c r="AX31" s="172">
        <f>SUM(AQ31:AW31)</f>
        <v>0</v>
      </c>
      <c r="AY31" s="85"/>
      <c r="AZ31" s="69"/>
      <c r="BA31" s="69"/>
      <c r="BB31" s="69"/>
      <c r="BC31" s="69"/>
      <c r="BD31" s="69"/>
      <c r="BE31" s="69"/>
      <c r="BF31" s="172">
        <f>SUM(AY31:BE31)</f>
        <v>0</v>
      </c>
      <c r="BG31" s="85"/>
      <c r="BH31" s="69"/>
      <c r="BI31" s="69"/>
      <c r="BJ31" s="69"/>
      <c r="BK31" s="69"/>
      <c r="BL31" s="69"/>
      <c r="BM31" s="69"/>
      <c r="BN31" s="172">
        <f>SUM(BG31:BM31)</f>
        <v>0</v>
      </c>
      <c r="BO31" s="85"/>
      <c r="BP31" s="69"/>
      <c r="BQ31" s="69"/>
      <c r="BR31" s="69"/>
      <c r="BS31" s="69"/>
      <c r="BT31" s="69"/>
      <c r="BU31" s="69"/>
      <c r="BV31" s="172">
        <f>SUM(BO31:BU31)</f>
        <v>0</v>
      </c>
      <c r="BW31" s="85"/>
      <c r="BX31" s="69"/>
      <c r="BY31" s="69"/>
      <c r="BZ31" s="69"/>
      <c r="CA31" s="69"/>
      <c r="CB31" s="69"/>
      <c r="CC31" s="69"/>
      <c r="CD31" s="172">
        <f>SUM(BW31:CC31)</f>
        <v>0</v>
      </c>
      <c r="CE31" s="85"/>
      <c r="CF31" s="69"/>
      <c r="CG31" s="69"/>
      <c r="CH31" s="69"/>
      <c r="CI31" s="69"/>
      <c r="CJ31" s="69"/>
      <c r="CK31" s="69"/>
      <c r="CL31" s="172">
        <f>SUM(CE31:CK31)</f>
        <v>0</v>
      </c>
      <c r="CM31" s="85"/>
      <c r="CN31" s="69"/>
      <c r="CO31" s="69"/>
      <c r="CP31" s="69"/>
      <c r="CQ31" s="69"/>
      <c r="CR31" s="69"/>
      <c r="CS31" s="69"/>
      <c r="CT31" s="172">
        <f>SUM(CM31:CS31)</f>
        <v>0</v>
      </c>
      <c r="CU31" s="85"/>
      <c r="CV31" s="69"/>
      <c r="CW31" s="69"/>
      <c r="CX31" s="69"/>
      <c r="CY31" s="69"/>
      <c r="CZ31" s="69"/>
      <c r="DA31" s="69"/>
      <c r="DB31" s="172">
        <f>SUM(CU31:DA31)</f>
        <v>0</v>
      </c>
      <c r="DC31" s="85"/>
      <c r="DD31" s="69"/>
      <c r="DE31" s="69"/>
      <c r="DF31" s="69"/>
      <c r="DG31" s="69"/>
      <c r="DH31" s="69"/>
      <c r="DI31" s="69"/>
      <c r="DJ31" s="172">
        <f>SUM(DC31:DI31)</f>
        <v>0</v>
      </c>
      <c r="DK31" s="85"/>
      <c r="DL31" s="69"/>
      <c r="DM31" s="69"/>
      <c r="DN31" s="69"/>
      <c r="DO31" s="69"/>
      <c r="DP31" s="69"/>
      <c r="DQ31" s="69"/>
      <c r="DR31" s="172">
        <f>SUM(DK31:DQ31)</f>
        <v>0</v>
      </c>
      <c r="DS31" s="85"/>
      <c r="DT31" s="69"/>
      <c r="DU31" s="69"/>
      <c r="DV31" s="69"/>
      <c r="DW31" s="69"/>
      <c r="DX31" s="69"/>
      <c r="DY31" s="69"/>
      <c r="DZ31" s="172">
        <f>SUM(DS31:DY31)</f>
        <v>0</v>
      </c>
      <c r="EA31" s="85"/>
      <c r="EB31" s="69"/>
      <c r="EC31" s="69"/>
      <c r="ED31" s="69"/>
      <c r="EE31" s="69"/>
      <c r="EF31" s="69"/>
      <c r="EG31" s="69"/>
      <c r="EH31" s="172">
        <f>SUM(EA31:EG31)</f>
        <v>0</v>
      </c>
    </row>
    <row r="32" spans="1:138" ht="15" x14ac:dyDescent="0.2">
      <c r="A32" s="162">
        <v>44334</v>
      </c>
      <c r="B32" s="70">
        <f t="shared" si="29"/>
        <v>0</v>
      </c>
      <c r="C32" s="150">
        <f t="shared" si="29"/>
        <v>0</v>
      </c>
      <c r="D32" s="70">
        <f t="shared" si="29"/>
        <v>0</v>
      </c>
      <c r="E32" s="150">
        <f t="shared" si="29"/>
        <v>0</v>
      </c>
      <c r="F32" s="70">
        <f t="shared" si="29"/>
        <v>0</v>
      </c>
      <c r="G32" s="150">
        <f t="shared" si="29"/>
        <v>0</v>
      </c>
      <c r="H32" s="70">
        <f t="shared" si="29"/>
        <v>0</v>
      </c>
      <c r="I32" s="163">
        <f>SUM(B32:H32)</f>
        <v>0</v>
      </c>
      <c r="J32" s="50"/>
      <c r="K32" s="105"/>
      <c r="L32" s="68"/>
      <c r="M32" s="68"/>
      <c r="N32" s="68"/>
      <c r="O32" s="68"/>
      <c r="P32" s="68"/>
      <c r="Q32" s="68"/>
      <c r="R32" s="172">
        <f>SUM(K32:Q32)</f>
        <v>0</v>
      </c>
      <c r="S32" s="71"/>
      <c r="T32" s="68"/>
      <c r="U32" s="68"/>
      <c r="V32" s="68"/>
      <c r="W32" s="68"/>
      <c r="X32" s="68"/>
      <c r="Y32" s="68"/>
      <c r="Z32" s="172">
        <f>SUM(S32:Y32)</f>
        <v>0</v>
      </c>
      <c r="AA32" s="71"/>
      <c r="AB32" s="68"/>
      <c r="AC32" s="68"/>
      <c r="AD32" s="68"/>
      <c r="AE32" s="68"/>
      <c r="AF32" s="68"/>
      <c r="AG32" s="68"/>
      <c r="AH32" s="172">
        <f>SUM(AA32:AG32)</f>
        <v>0</v>
      </c>
      <c r="AI32" s="85"/>
      <c r="AJ32" s="69"/>
      <c r="AK32" s="69"/>
      <c r="AL32" s="69"/>
      <c r="AM32" s="69"/>
      <c r="AN32" s="69"/>
      <c r="AO32" s="69"/>
      <c r="AP32" s="172">
        <f>SUM(AI32:AO32)</f>
        <v>0</v>
      </c>
      <c r="AQ32" s="85"/>
      <c r="AR32" s="69"/>
      <c r="AS32" s="69"/>
      <c r="AT32" s="69"/>
      <c r="AU32" s="69"/>
      <c r="AV32" s="69"/>
      <c r="AW32" s="69"/>
      <c r="AX32" s="172">
        <f>SUM(AQ32:AW32)</f>
        <v>0</v>
      </c>
      <c r="AY32" s="85"/>
      <c r="AZ32" s="69"/>
      <c r="BA32" s="69"/>
      <c r="BB32" s="69"/>
      <c r="BC32" s="69"/>
      <c r="BD32" s="69"/>
      <c r="BE32" s="69"/>
      <c r="BF32" s="172">
        <f>SUM(AY32:BE32)</f>
        <v>0</v>
      </c>
      <c r="BG32" s="85"/>
      <c r="BH32" s="69"/>
      <c r="BI32" s="69"/>
      <c r="BJ32" s="69"/>
      <c r="BK32" s="69"/>
      <c r="BL32" s="69"/>
      <c r="BM32" s="69"/>
      <c r="BN32" s="172">
        <f>SUM(BG32:BM32)</f>
        <v>0</v>
      </c>
      <c r="BO32" s="85"/>
      <c r="BP32" s="69"/>
      <c r="BQ32" s="69"/>
      <c r="BR32" s="69"/>
      <c r="BS32" s="69"/>
      <c r="BT32" s="69"/>
      <c r="BU32" s="69"/>
      <c r="BV32" s="172">
        <f>SUM(BO32:BU32)</f>
        <v>0</v>
      </c>
      <c r="BW32" s="85"/>
      <c r="BX32" s="69"/>
      <c r="BY32" s="69"/>
      <c r="BZ32" s="69"/>
      <c r="CA32" s="69"/>
      <c r="CB32" s="69"/>
      <c r="CC32" s="69"/>
      <c r="CD32" s="172">
        <f>SUM(BW32:CC32)</f>
        <v>0</v>
      </c>
      <c r="CE32" s="85"/>
      <c r="CF32" s="69"/>
      <c r="CG32" s="69"/>
      <c r="CH32" s="69"/>
      <c r="CI32" s="69"/>
      <c r="CJ32" s="69"/>
      <c r="CK32" s="69"/>
      <c r="CL32" s="172">
        <f>SUM(CE32:CK32)</f>
        <v>0</v>
      </c>
      <c r="CM32" s="85"/>
      <c r="CN32" s="69"/>
      <c r="CO32" s="69"/>
      <c r="CP32" s="69"/>
      <c r="CQ32" s="69"/>
      <c r="CR32" s="69"/>
      <c r="CS32" s="69"/>
      <c r="CT32" s="172">
        <f>SUM(CM32:CS32)</f>
        <v>0</v>
      </c>
      <c r="CU32" s="85"/>
      <c r="CV32" s="69"/>
      <c r="CW32" s="69"/>
      <c r="CX32" s="69"/>
      <c r="CY32" s="69"/>
      <c r="CZ32" s="69"/>
      <c r="DA32" s="69"/>
      <c r="DB32" s="172">
        <f>SUM(CU32:DA32)</f>
        <v>0</v>
      </c>
      <c r="DC32" s="85"/>
      <c r="DD32" s="69"/>
      <c r="DE32" s="69"/>
      <c r="DF32" s="69"/>
      <c r="DG32" s="69"/>
      <c r="DH32" s="69"/>
      <c r="DI32" s="69"/>
      <c r="DJ32" s="172">
        <f>SUM(DC32:DI32)</f>
        <v>0</v>
      </c>
      <c r="DK32" s="85"/>
      <c r="DL32" s="69"/>
      <c r="DM32" s="69"/>
      <c r="DN32" s="69"/>
      <c r="DO32" s="69"/>
      <c r="DP32" s="69"/>
      <c r="DQ32" s="69"/>
      <c r="DR32" s="172">
        <f>SUM(DK32:DQ32)</f>
        <v>0</v>
      </c>
      <c r="DS32" s="85"/>
      <c r="DT32" s="69"/>
      <c r="DU32" s="69"/>
      <c r="DV32" s="69"/>
      <c r="DW32" s="69"/>
      <c r="DX32" s="69"/>
      <c r="DY32" s="69"/>
      <c r="DZ32" s="172">
        <f>SUM(DS32:DY32)</f>
        <v>0</v>
      </c>
      <c r="EA32" s="85"/>
      <c r="EB32" s="69"/>
      <c r="EC32" s="69"/>
      <c r="ED32" s="69"/>
      <c r="EE32" s="69"/>
      <c r="EF32" s="69"/>
      <c r="EG32" s="69"/>
      <c r="EH32" s="172">
        <f>SUM(EA32:EG32)</f>
        <v>0</v>
      </c>
    </row>
    <row r="33" spans="1:138" ht="15" x14ac:dyDescent="0.2">
      <c r="A33" s="162">
        <v>44335</v>
      </c>
      <c r="B33" s="70">
        <f t="shared" si="29"/>
        <v>0</v>
      </c>
      <c r="C33" s="150">
        <f t="shared" si="29"/>
        <v>0</v>
      </c>
      <c r="D33" s="70">
        <f t="shared" si="29"/>
        <v>0</v>
      </c>
      <c r="E33" s="150">
        <f t="shared" si="29"/>
        <v>0</v>
      </c>
      <c r="F33" s="70">
        <f t="shared" si="29"/>
        <v>0</v>
      </c>
      <c r="G33" s="150">
        <f t="shared" si="29"/>
        <v>0</v>
      </c>
      <c r="H33" s="70">
        <f t="shared" si="29"/>
        <v>0</v>
      </c>
      <c r="I33" s="163">
        <f>SUM(B33:H33)</f>
        <v>0</v>
      </c>
      <c r="J33" s="50"/>
      <c r="K33" s="105"/>
      <c r="L33" s="68"/>
      <c r="M33" s="68"/>
      <c r="N33" s="68"/>
      <c r="O33" s="68"/>
      <c r="P33" s="68"/>
      <c r="Q33" s="68"/>
      <c r="R33" s="172">
        <f>SUM(K33:Q33)</f>
        <v>0</v>
      </c>
      <c r="S33" s="71"/>
      <c r="T33" s="68"/>
      <c r="U33" s="68"/>
      <c r="V33" s="68"/>
      <c r="W33" s="68"/>
      <c r="X33" s="68"/>
      <c r="Y33" s="68"/>
      <c r="Z33" s="172">
        <f>SUM(S33:Y33)</f>
        <v>0</v>
      </c>
      <c r="AA33" s="71"/>
      <c r="AB33" s="68"/>
      <c r="AC33" s="68"/>
      <c r="AD33" s="68"/>
      <c r="AE33" s="68"/>
      <c r="AF33" s="68"/>
      <c r="AG33" s="68"/>
      <c r="AH33" s="172">
        <f>SUM(AA33:AG33)</f>
        <v>0</v>
      </c>
      <c r="AI33" s="85"/>
      <c r="AJ33" s="69"/>
      <c r="AK33" s="69"/>
      <c r="AL33" s="69"/>
      <c r="AM33" s="69"/>
      <c r="AN33" s="69"/>
      <c r="AO33" s="69"/>
      <c r="AP33" s="172">
        <f>SUM(AI33:AO33)</f>
        <v>0</v>
      </c>
      <c r="AQ33" s="85"/>
      <c r="AR33" s="69"/>
      <c r="AS33" s="69"/>
      <c r="AT33" s="69"/>
      <c r="AU33" s="69"/>
      <c r="AV33" s="69"/>
      <c r="AW33" s="69"/>
      <c r="AX33" s="172">
        <f>SUM(AQ33:AW33)</f>
        <v>0</v>
      </c>
      <c r="AY33" s="85"/>
      <c r="AZ33" s="69"/>
      <c r="BA33" s="69"/>
      <c r="BB33" s="69"/>
      <c r="BC33" s="69"/>
      <c r="BD33" s="69"/>
      <c r="BE33" s="69"/>
      <c r="BF33" s="172">
        <f>SUM(AY33:BE33)</f>
        <v>0</v>
      </c>
      <c r="BG33" s="85"/>
      <c r="BH33" s="69"/>
      <c r="BI33" s="69"/>
      <c r="BJ33" s="69"/>
      <c r="BK33" s="69"/>
      <c r="BL33" s="69"/>
      <c r="BM33" s="69"/>
      <c r="BN33" s="172">
        <f>SUM(BG33:BM33)</f>
        <v>0</v>
      </c>
      <c r="BO33" s="85"/>
      <c r="BP33" s="69"/>
      <c r="BQ33" s="69"/>
      <c r="BR33" s="69"/>
      <c r="BS33" s="69"/>
      <c r="BT33" s="69"/>
      <c r="BU33" s="69"/>
      <c r="BV33" s="172">
        <f>SUM(BO33:BU33)</f>
        <v>0</v>
      </c>
      <c r="BW33" s="85"/>
      <c r="BX33" s="69"/>
      <c r="BY33" s="69"/>
      <c r="BZ33" s="69"/>
      <c r="CA33" s="69"/>
      <c r="CB33" s="69"/>
      <c r="CC33" s="69"/>
      <c r="CD33" s="172">
        <f>SUM(BW33:CC33)</f>
        <v>0</v>
      </c>
      <c r="CE33" s="85"/>
      <c r="CF33" s="69"/>
      <c r="CG33" s="69"/>
      <c r="CH33" s="69"/>
      <c r="CI33" s="69"/>
      <c r="CJ33" s="69"/>
      <c r="CK33" s="69"/>
      <c r="CL33" s="172">
        <f>SUM(CE33:CK33)</f>
        <v>0</v>
      </c>
      <c r="CM33" s="85"/>
      <c r="CN33" s="69"/>
      <c r="CO33" s="69"/>
      <c r="CP33" s="69"/>
      <c r="CQ33" s="69"/>
      <c r="CR33" s="69"/>
      <c r="CS33" s="69"/>
      <c r="CT33" s="172">
        <f>SUM(CM33:CS33)</f>
        <v>0</v>
      </c>
      <c r="CU33" s="85"/>
      <c r="CV33" s="69"/>
      <c r="CW33" s="69"/>
      <c r="CX33" s="69"/>
      <c r="CY33" s="69"/>
      <c r="CZ33" s="69"/>
      <c r="DA33" s="69"/>
      <c r="DB33" s="172">
        <f>SUM(CU33:DA33)</f>
        <v>0</v>
      </c>
      <c r="DC33" s="85"/>
      <c r="DD33" s="69"/>
      <c r="DE33" s="69"/>
      <c r="DF33" s="69"/>
      <c r="DG33" s="69"/>
      <c r="DH33" s="69"/>
      <c r="DI33" s="69"/>
      <c r="DJ33" s="172">
        <f>SUM(DC33:DI33)</f>
        <v>0</v>
      </c>
      <c r="DK33" s="85"/>
      <c r="DL33" s="69"/>
      <c r="DM33" s="69"/>
      <c r="DN33" s="69"/>
      <c r="DO33" s="69"/>
      <c r="DP33" s="69"/>
      <c r="DQ33" s="69"/>
      <c r="DR33" s="172">
        <f>SUM(DK33:DQ33)</f>
        <v>0</v>
      </c>
      <c r="DS33" s="85"/>
      <c r="DT33" s="69"/>
      <c r="DU33" s="69"/>
      <c r="DV33" s="69"/>
      <c r="DW33" s="69"/>
      <c r="DX33" s="69"/>
      <c r="DY33" s="69"/>
      <c r="DZ33" s="172">
        <f>SUM(DS33:DY33)</f>
        <v>0</v>
      </c>
      <c r="EA33" s="85"/>
      <c r="EB33" s="69"/>
      <c r="EC33" s="69"/>
      <c r="ED33" s="69"/>
      <c r="EE33" s="69"/>
      <c r="EF33" s="69"/>
      <c r="EG33" s="69"/>
      <c r="EH33" s="172">
        <f>SUM(EA33:EG33)</f>
        <v>0</v>
      </c>
    </row>
    <row r="34" spans="1:138" ht="15" x14ac:dyDescent="0.2">
      <c r="A34" s="162">
        <v>44336</v>
      </c>
      <c r="B34" s="70">
        <f t="shared" si="29"/>
        <v>0</v>
      </c>
      <c r="C34" s="150">
        <f t="shared" si="29"/>
        <v>0</v>
      </c>
      <c r="D34" s="70">
        <f t="shared" si="29"/>
        <v>0</v>
      </c>
      <c r="E34" s="150">
        <f t="shared" si="29"/>
        <v>0</v>
      </c>
      <c r="F34" s="70">
        <f t="shared" si="29"/>
        <v>0</v>
      </c>
      <c r="G34" s="150">
        <f t="shared" si="29"/>
        <v>0</v>
      </c>
      <c r="H34" s="70">
        <f t="shared" si="29"/>
        <v>0</v>
      </c>
      <c r="I34" s="163">
        <f>SUM(B34:H34)</f>
        <v>0</v>
      </c>
      <c r="J34" s="50"/>
      <c r="K34" s="105"/>
      <c r="L34" s="68"/>
      <c r="M34" s="68"/>
      <c r="N34" s="68"/>
      <c r="O34" s="68"/>
      <c r="P34" s="68"/>
      <c r="Q34" s="68"/>
      <c r="R34" s="172">
        <f>SUM(K34:Q34)</f>
        <v>0</v>
      </c>
      <c r="S34" s="71"/>
      <c r="T34" s="68"/>
      <c r="U34" s="68"/>
      <c r="V34" s="68"/>
      <c r="W34" s="68"/>
      <c r="X34" s="68"/>
      <c r="Y34" s="68"/>
      <c r="Z34" s="172">
        <f>SUM(S34:Y34)</f>
        <v>0</v>
      </c>
      <c r="AA34" s="71"/>
      <c r="AB34" s="68"/>
      <c r="AC34" s="68"/>
      <c r="AD34" s="68"/>
      <c r="AE34" s="68"/>
      <c r="AF34" s="68"/>
      <c r="AG34" s="68"/>
      <c r="AH34" s="172">
        <f>SUM(AA34:AG34)</f>
        <v>0</v>
      </c>
      <c r="AI34" s="85"/>
      <c r="AJ34" s="69"/>
      <c r="AK34" s="69"/>
      <c r="AL34" s="69"/>
      <c r="AM34" s="69"/>
      <c r="AN34" s="69"/>
      <c r="AO34" s="69"/>
      <c r="AP34" s="172">
        <f>SUM(AI34:AO34)</f>
        <v>0</v>
      </c>
      <c r="AQ34" s="85"/>
      <c r="AR34" s="69"/>
      <c r="AS34" s="69"/>
      <c r="AT34" s="69"/>
      <c r="AU34" s="69"/>
      <c r="AV34" s="69"/>
      <c r="AW34" s="69"/>
      <c r="AX34" s="172">
        <f>SUM(AQ34:AW34)</f>
        <v>0</v>
      </c>
      <c r="AY34" s="85"/>
      <c r="AZ34" s="69"/>
      <c r="BA34" s="69"/>
      <c r="BB34" s="69"/>
      <c r="BC34" s="69"/>
      <c r="BD34" s="69"/>
      <c r="BE34" s="69"/>
      <c r="BF34" s="172">
        <f>SUM(AY34:BE34)</f>
        <v>0</v>
      </c>
      <c r="BG34" s="85"/>
      <c r="BH34" s="69"/>
      <c r="BI34" s="69"/>
      <c r="BJ34" s="69"/>
      <c r="BK34" s="69"/>
      <c r="BL34" s="69"/>
      <c r="BM34" s="69"/>
      <c r="BN34" s="172">
        <f>SUM(BG34:BM34)</f>
        <v>0</v>
      </c>
      <c r="BO34" s="85"/>
      <c r="BP34" s="69"/>
      <c r="BQ34" s="69"/>
      <c r="BR34" s="69"/>
      <c r="BS34" s="69"/>
      <c r="BT34" s="69"/>
      <c r="BU34" s="69"/>
      <c r="BV34" s="172">
        <f>SUM(BO34:BU34)</f>
        <v>0</v>
      </c>
      <c r="BW34" s="85"/>
      <c r="BX34" s="69"/>
      <c r="BY34" s="69"/>
      <c r="BZ34" s="69"/>
      <c r="CA34" s="69"/>
      <c r="CB34" s="69"/>
      <c r="CC34" s="69"/>
      <c r="CD34" s="172">
        <f>SUM(BW34:CC34)</f>
        <v>0</v>
      </c>
      <c r="CE34" s="85"/>
      <c r="CF34" s="69"/>
      <c r="CG34" s="69"/>
      <c r="CH34" s="69"/>
      <c r="CI34" s="69"/>
      <c r="CJ34" s="69"/>
      <c r="CK34" s="69"/>
      <c r="CL34" s="172">
        <f>SUM(CE34:CK34)</f>
        <v>0</v>
      </c>
      <c r="CM34" s="85"/>
      <c r="CN34" s="69"/>
      <c r="CO34" s="69"/>
      <c r="CP34" s="69"/>
      <c r="CQ34" s="69"/>
      <c r="CR34" s="69"/>
      <c r="CS34" s="69"/>
      <c r="CT34" s="172">
        <f>SUM(CM34:CS34)</f>
        <v>0</v>
      </c>
      <c r="CU34" s="85"/>
      <c r="CV34" s="69"/>
      <c r="CW34" s="69"/>
      <c r="CX34" s="69"/>
      <c r="CY34" s="69"/>
      <c r="CZ34" s="69"/>
      <c r="DA34" s="69"/>
      <c r="DB34" s="172">
        <f>SUM(CU34:DA34)</f>
        <v>0</v>
      </c>
      <c r="DC34" s="85"/>
      <c r="DD34" s="69"/>
      <c r="DE34" s="69"/>
      <c r="DF34" s="69"/>
      <c r="DG34" s="69"/>
      <c r="DH34" s="69"/>
      <c r="DI34" s="69"/>
      <c r="DJ34" s="172">
        <f>SUM(DC34:DI34)</f>
        <v>0</v>
      </c>
      <c r="DK34" s="85"/>
      <c r="DL34" s="69"/>
      <c r="DM34" s="69"/>
      <c r="DN34" s="69"/>
      <c r="DO34" s="69"/>
      <c r="DP34" s="69"/>
      <c r="DQ34" s="69"/>
      <c r="DR34" s="172">
        <f>SUM(DK34:DQ34)</f>
        <v>0</v>
      </c>
      <c r="DS34" s="85"/>
      <c r="DT34" s="69"/>
      <c r="DU34" s="69"/>
      <c r="DV34" s="69"/>
      <c r="DW34" s="69"/>
      <c r="DX34" s="69"/>
      <c r="DY34" s="69"/>
      <c r="DZ34" s="172">
        <f>SUM(DS34:DY34)</f>
        <v>0</v>
      </c>
      <c r="EA34" s="85"/>
      <c r="EB34" s="69"/>
      <c r="EC34" s="69"/>
      <c r="ED34" s="69"/>
      <c r="EE34" s="69"/>
      <c r="EF34" s="69"/>
      <c r="EG34" s="69"/>
      <c r="EH34" s="172">
        <f>SUM(EA34:EG34)</f>
        <v>0</v>
      </c>
    </row>
    <row r="35" spans="1:138" ht="15" x14ac:dyDescent="0.2">
      <c r="A35" s="162">
        <v>44337</v>
      </c>
      <c r="B35" s="70">
        <f t="shared" si="29"/>
        <v>0</v>
      </c>
      <c r="C35" s="150">
        <f t="shared" si="29"/>
        <v>0</v>
      </c>
      <c r="D35" s="70">
        <f t="shared" si="29"/>
        <v>0</v>
      </c>
      <c r="E35" s="150">
        <f t="shared" si="29"/>
        <v>0</v>
      </c>
      <c r="F35" s="70">
        <f t="shared" si="29"/>
        <v>0</v>
      </c>
      <c r="G35" s="150">
        <f t="shared" si="29"/>
        <v>0</v>
      </c>
      <c r="H35" s="70">
        <f t="shared" si="29"/>
        <v>0</v>
      </c>
      <c r="I35" s="163">
        <f>SUM(B35:H35)</f>
        <v>0</v>
      </c>
      <c r="J35" s="50"/>
      <c r="K35" s="105"/>
      <c r="L35" s="68"/>
      <c r="M35" s="68"/>
      <c r="N35" s="68"/>
      <c r="O35" s="68"/>
      <c r="P35" s="68"/>
      <c r="Q35" s="68"/>
      <c r="R35" s="172">
        <f>SUM(K35:Q35)</f>
        <v>0</v>
      </c>
      <c r="S35" s="71"/>
      <c r="T35" s="68"/>
      <c r="U35" s="68"/>
      <c r="V35" s="68"/>
      <c r="W35" s="68"/>
      <c r="X35" s="68"/>
      <c r="Y35" s="68"/>
      <c r="Z35" s="172">
        <f>SUM(S35:Y35)</f>
        <v>0</v>
      </c>
      <c r="AA35" s="71"/>
      <c r="AB35" s="68"/>
      <c r="AC35" s="68"/>
      <c r="AD35" s="68"/>
      <c r="AE35" s="68"/>
      <c r="AF35" s="68"/>
      <c r="AG35" s="68"/>
      <c r="AH35" s="172">
        <f>SUM(AA35:AG35)</f>
        <v>0</v>
      </c>
      <c r="AI35" s="85"/>
      <c r="AJ35" s="69"/>
      <c r="AK35" s="69"/>
      <c r="AL35" s="69"/>
      <c r="AM35" s="69"/>
      <c r="AN35" s="69"/>
      <c r="AO35" s="69"/>
      <c r="AP35" s="172">
        <f>SUM(AI35:AO35)</f>
        <v>0</v>
      </c>
      <c r="AQ35" s="85"/>
      <c r="AR35" s="69"/>
      <c r="AS35" s="69"/>
      <c r="AT35" s="69"/>
      <c r="AU35" s="69"/>
      <c r="AV35" s="69"/>
      <c r="AW35" s="69"/>
      <c r="AX35" s="172">
        <f>SUM(AQ35:AW35)</f>
        <v>0</v>
      </c>
      <c r="AY35" s="85"/>
      <c r="AZ35" s="69"/>
      <c r="BA35" s="69"/>
      <c r="BB35" s="69"/>
      <c r="BC35" s="69"/>
      <c r="BD35" s="69"/>
      <c r="BE35" s="69"/>
      <c r="BF35" s="172">
        <f>SUM(AY35:BE35)</f>
        <v>0</v>
      </c>
      <c r="BG35" s="85"/>
      <c r="BH35" s="69"/>
      <c r="BI35" s="69"/>
      <c r="BJ35" s="69"/>
      <c r="BK35" s="69"/>
      <c r="BL35" s="69"/>
      <c r="BM35" s="69"/>
      <c r="BN35" s="172">
        <f>SUM(BG35:BM35)</f>
        <v>0</v>
      </c>
      <c r="BO35" s="85"/>
      <c r="BP35" s="69"/>
      <c r="BQ35" s="69"/>
      <c r="BR35" s="69"/>
      <c r="BS35" s="69"/>
      <c r="BT35" s="69"/>
      <c r="BU35" s="69"/>
      <c r="BV35" s="172">
        <f>SUM(BO35:BU35)</f>
        <v>0</v>
      </c>
      <c r="BW35" s="85"/>
      <c r="BX35" s="69"/>
      <c r="BY35" s="69"/>
      <c r="BZ35" s="69"/>
      <c r="CA35" s="69"/>
      <c r="CB35" s="69"/>
      <c r="CC35" s="69"/>
      <c r="CD35" s="172">
        <f>SUM(BW35:CC35)</f>
        <v>0</v>
      </c>
      <c r="CE35" s="85"/>
      <c r="CF35" s="69"/>
      <c r="CG35" s="69"/>
      <c r="CH35" s="69"/>
      <c r="CI35" s="69"/>
      <c r="CJ35" s="69"/>
      <c r="CK35" s="69"/>
      <c r="CL35" s="172">
        <f>SUM(CE35:CK35)</f>
        <v>0</v>
      </c>
      <c r="CM35" s="85"/>
      <c r="CN35" s="69"/>
      <c r="CO35" s="69"/>
      <c r="CP35" s="69"/>
      <c r="CQ35" s="69"/>
      <c r="CR35" s="69"/>
      <c r="CS35" s="69"/>
      <c r="CT35" s="172">
        <f>SUM(CM35:CS35)</f>
        <v>0</v>
      </c>
      <c r="CU35" s="85"/>
      <c r="CV35" s="69"/>
      <c r="CW35" s="69"/>
      <c r="CX35" s="69"/>
      <c r="CY35" s="69"/>
      <c r="CZ35" s="69"/>
      <c r="DA35" s="69"/>
      <c r="DB35" s="172">
        <f>SUM(CU35:DA35)</f>
        <v>0</v>
      </c>
      <c r="DC35" s="85"/>
      <c r="DD35" s="69"/>
      <c r="DE35" s="69"/>
      <c r="DF35" s="69"/>
      <c r="DG35" s="69"/>
      <c r="DH35" s="69"/>
      <c r="DI35" s="69"/>
      <c r="DJ35" s="172">
        <f>SUM(DC35:DI35)</f>
        <v>0</v>
      </c>
      <c r="DK35" s="85"/>
      <c r="DL35" s="69"/>
      <c r="DM35" s="69"/>
      <c r="DN35" s="69"/>
      <c r="DO35" s="69"/>
      <c r="DP35" s="69"/>
      <c r="DQ35" s="69"/>
      <c r="DR35" s="172">
        <f>SUM(DK35:DQ35)</f>
        <v>0</v>
      </c>
      <c r="DS35" s="85"/>
      <c r="DT35" s="69"/>
      <c r="DU35" s="69"/>
      <c r="DV35" s="69"/>
      <c r="DW35" s="69"/>
      <c r="DX35" s="69"/>
      <c r="DY35" s="69"/>
      <c r="DZ35" s="172">
        <f>SUM(DS35:DY35)</f>
        <v>0</v>
      </c>
      <c r="EA35" s="85"/>
      <c r="EB35" s="69"/>
      <c r="EC35" s="69"/>
      <c r="ED35" s="69"/>
      <c r="EE35" s="69"/>
      <c r="EF35" s="69"/>
      <c r="EG35" s="69"/>
      <c r="EH35" s="172">
        <f>SUM(EA35:EG35)</f>
        <v>0</v>
      </c>
    </row>
    <row r="36" spans="1:138" ht="15" x14ac:dyDescent="0.2">
      <c r="A36" s="164">
        <v>44338</v>
      </c>
      <c r="B36" s="69"/>
      <c r="C36" s="69"/>
      <c r="D36" s="69"/>
      <c r="E36" s="69"/>
      <c r="F36" s="69"/>
      <c r="G36" s="69"/>
      <c r="H36" s="69"/>
      <c r="I36" s="69"/>
      <c r="J36" s="50"/>
      <c r="K36" s="173"/>
      <c r="L36" s="69"/>
      <c r="M36" s="69"/>
      <c r="N36" s="69"/>
      <c r="O36" s="69"/>
      <c r="P36" s="69"/>
      <c r="Q36" s="69"/>
      <c r="R36" s="174"/>
      <c r="S36" s="85"/>
      <c r="T36" s="69"/>
      <c r="U36" s="69"/>
      <c r="V36" s="69"/>
      <c r="W36" s="69"/>
      <c r="X36" s="69"/>
      <c r="Y36" s="69"/>
      <c r="Z36" s="174"/>
      <c r="AA36" s="85"/>
      <c r="AB36" s="69"/>
      <c r="AC36" s="69"/>
      <c r="AD36" s="69"/>
      <c r="AE36" s="69"/>
      <c r="AF36" s="69"/>
      <c r="AG36" s="69"/>
      <c r="AH36" s="174"/>
      <c r="AI36" s="85"/>
      <c r="AJ36" s="69"/>
      <c r="AK36" s="69"/>
      <c r="AL36" s="69"/>
      <c r="AM36" s="69"/>
      <c r="AN36" s="69"/>
      <c r="AO36" s="69"/>
      <c r="AP36" s="174"/>
      <c r="AQ36" s="85"/>
      <c r="AR36" s="69"/>
      <c r="AS36" s="69"/>
      <c r="AT36" s="69"/>
      <c r="AU36" s="69"/>
      <c r="AV36" s="69"/>
      <c r="AW36" s="69"/>
      <c r="AX36" s="174"/>
      <c r="AY36" s="85"/>
      <c r="AZ36" s="69"/>
      <c r="BA36" s="69"/>
      <c r="BB36" s="69"/>
      <c r="BC36" s="69"/>
      <c r="BD36" s="69"/>
      <c r="BE36" s="69"/>
      <c r="BF36" s="174"/>
      <c r="BG36" s="85"/>
      <c r="BH36" s="69"/>
      <c r="BI36" s="69"/>
      <c r="BJ36" s="69"/>
      <c r="BK36" s="69"/>
      <c r="BL36" s="69"/>
      <c r="BM36" s="69"/>
      <c r="BN36" s="174"/>
      <c r="BO36" s="85"/>
      <c r="BP36" s="69"/>
      <c r="BQ36" s="69"/>
      <c r="BR36" s="69"/>
      <c r="BS36" s="69"/>
      <c r="BT36" s="69"/>
      <c r="BU36" s="69"/>
      <c r="BV36" s="174"/>
      <c r="BW36" s="85"/>
      <c r="BX36" s="69"/>
      <c r="BY36" s="69"/>
      <c r="BZ36" s="69"/>
      <c r="CA36" s="69"/>
      <c r="CB36" s="69"/>
      <c r="CC36" s="69"/>
      <c r="CD36" s="174"/>
      <c r="CE36" s="85"/>
      <c r="CF36" s="69"/>
      <c r="CG36" s="69"/>
      <c r="CH36" s="69"/>
      <c r="CI36" s="69"/>
      <c r="CJ36" s="69"/>
      <c r="CK36" s="69"/>
      <c r="CL36" s="174"/>
      <c r="CM36" s="85"/>
      <c r="CN36" s="69"/>
      <c r="CO36" s="69"/>
      <c r="CP36" s="69"/>
      <c r="CQ36" s="69"/>
      <c r="CR36" s="69"/>
      <c r="CS36" s="69"/>
      <c r="CT36" s="174"/>
      <c r="CU36" s="85"/>
      <c r="CV36" s="69"/>
      <c r="CW36" s="69"/>
      <c r="CX36" s="69"/>
      <c r="CY36" s="69"/>
      <c r="CZ36" s="69"/>
      <c r="DA36" s="69"/>
      <c r="DB36" s="174"/>
      <c r="DC36" s="85"/>
      <c r="DD36" s="69"/>
      <c r="DE36" s="69"/>
      <c r="DF36" s="69"/>
      <c r="DG36" s="69"/>
      <c r="DH36" s="69"/>
      <c r="DI36" s="69"/>
      <c r="DJ36" s="174"/>
      <c r="DK36" s="85"/>
      <c r="DL36" s="69"/>
      <c r="DM36" s="69"/>
      <c r="DN36" s="69"/>
      <c r="DO36" s="69"/>
      <c r="DP36" s="69"/>
      <c r="DQ36" s="69"/>
      <c r="DR36" s="174"/>
      <c r="DS36" s="85"/>
      <c r="DT36" s="69"/>
      <c r="DU36" s="69"/>
      <c r="DV36" s="69"/>
      <c r="DW36" s="69"/>
      <c r="DX36" s="69"/>
      <c r="DY36" s="69"/>
      <c r="DZ36" s="174"/>
      <c r="EA36" s="85"/>
      <c r="EB36" s="69"/>
      <c r="EC36" s="69"/>
      <c r="ED36" s="69"/>
      <c r="EE36" s="69"/>
      <c r="EF36" s="69"/>
      <c r="EG36" s="69"/>
      <c r="EH36" s="174"/>
    </row>
    <row r="37" spans="1:138" ht="15" x14ac:dyDescent="0.2">
      <c r="A37" s="164">
        <v>44339</v>
      </c>
      <c r="B37" s="69"/>
      <c r="C37" s="69"/>
      <c r="D37" s="69"/>
      <c r="E37" s="69"/>
      <c r="F37" s="69"/>
      <c r="G37" s="69"/>
      <c r="H37" s="69"/>
      <c r="I37" s="69"/>
      <c r="J37" s="50"/>
      <c r="K37" s="173"/>
      <c r="L37" s="69"/>
      <c r="M37" s="69"/>
      <c r="N37" s="69"/>
      <c r="O37" s="69"/>
      <c r="P37" s="69"/>
      <c r="Q37" s="69"/>
      <c r="R37" s="174"/>
      <c r="S37" s="85"/>
      <c r="T37" s="69"/>
      <c r="U37" s="69"/>
      <c r="V37" s="69"/>
      <c r="W37" s="69"/>
      <c r="X37" s="69"/>
      <c r="Y37" s="69"/>
      <c r="Z37" s="174"/>
      <c r="AA37" s="85"/>
      <c r="AB37" s="69"/>
      <c r="AC37" s="69"/>
      <c r="AD37" s="69"/>
      <c r="AE37" s="69"/>
      <c r="AF37" s="69"/>
      <c r="AG37" s="69"/>
      <c r="AH37" s="174"/>
      <c r="AI37" s="85"/>
      <c r="AJ37" s="69"/>
      <c r="AK37" s="69"/>
      <c r="AL37" s="69"/>
      <c r="AM37" s="69"/>
      <c r="AN37" s="69"/>
      <c r="AO37" s="69"/>
      <c r="AP37" s="174"/>
      <c r="AQ37" s="85"/>
      <c r="AR37" s="69"/>
      <c r="AS37" s="69"/>
      <c r="AT37" s="69"/>
      <c r="AU37" s="69"/>
      <c r="AV37" s="69"/>
      <c r="AW37" s="69"/>
      <c r="AX37" s="174"/>
      <c r="AY37" s="85"/>
      <c r="AZ37" s="69"/>
      <c r="BA37" s="69"/>
      <c r="BB37" s="69"/>
      <c r="BC37" s="69"/>
      <c r="BD37" s="69"/>
      <c r="BE37" s="69"/>
      <c r="BF37" s="174"/>
      <c r="BG37" s="85"/>
      <c r="BH37" s="69"/>
      <c r="BI37" s="69"/>
      <c r="BJ37" s="69"/>
      <c r="BK37" s="69"/>
      <c r="BL37" s="69"/>
      <c r="BM37" s="69"/>
      <c r="BN37" s="174"/>
      <c r="BO37" s="85"/>
      <c r="BP37" s="69"/>
      <c r="BQ37" s="69"/>
      <c r="BR37" s="69"/>
      <c r="BS37" s="69"/>
      <c r="BT37" s="69"/>
      <c r="BU37" s="69"/>
      <c r="BV37" s="174"/>
      <c r="BW37" s="85"/>
      <c r="BX37" s="69"/>
      <c r="BY37" s="69"/>
      <c r="BZ37" s="69"/>
      <c r="CA37" s="69"/>
      <c r="CB37" s="69"/>
      <c r="CC37" s="69"/>
      <c r="CD37" s="174"/>
      <c r="CE37" s="85"/>
      <c r="CF37" s="69"/>
      <c r="CG37" s="69"/>
      <c r="CH37" s="69"/>
      <c r="CI37" s="69"/>
      <c r="CJ37" s="69"/>
      <c r="CK37" s="69"/>
      <c r="CL37" s="174"/>
      <c r="CM37" s="85"/>
      <c r="CN37" s="69"/>
      <c r="CO37" s="69"/>
      <c r="CP37" s="69"/>
      <c r="CQ37" s="69"/>
      <c r="CR37" s="69"/>
      <c r="CS37" s="69"/>
      <c r="CT37" s="174"/>
      <c r="CU37" s="85"/>
      <c r="CV37" s="69"/>
      <c r="CW37" s="69"/>
      <c r="CX37" s="69"/>
      <c r="CY37" s="69"/>
      <c r="CZ37" s="69"/>
      <c r="DA37" s="69"/>
      <c r="DB37" s="174"/>
      <c r="DC37" s="85"/>
      <c r="DD37" s="69"/>
      <c r="DE37" s="69"/>
      <c r="DF37" s="69"/>
      <c r="DG37" s="69"/>
      <c r="DH37" s="69"/>
      <c r="DI37" s="69"/>
      <c r="DJ37" s="174"/>
      <c r="DK37" s="85"/>
      <c r="DL37" s="69"/>
      <c r="DM37" s="69"/>
      <c r="DN37" s="69"/>
      <c r="DO37" s="69"/>
      <c r="DP37" s="69"/>
      <c r="DQ37" s="69"/>
      <c r="DR37" s="174"/>
      <c r="DS37" s="85"/>
      <c r="DT37" s="69"/>
      <c r="DU37" s="69"/>
      <c r="DV37" s="69"/>
      <c r="DW37" s="69"/>
      <c r="DX37" s="69"/>
      <c r="DY37" s="69"/>
      <c r="DZ37" s="174"/>
      <c r="EA37" s="85"/>
      <c r="EB37" s="69"/>
      <c r="EC37" s="69"/>
      <c r="ED37" s="69"/>
      <c r="EE37" s="69"/>
      <c r="EF37" s="69"/>
      <c r="EG37" s="69"/>
      <c r="EH37" s="174"/>
    </row>
    <row r="38" spans="1:138" ht="15" x14ac:dyDescent="0.2">
      <c r="A38" s="165">
        <v>44340</v>
      </c>
      <c r="B38" s="70">
        <f t="shared" ref="B38:H43" si="30">K38+S38+AA38+AI38+AQ38+AY38+BG38+BO38+BW38+CE38+CM38+CU38+DC38+DK38+DS38+EA38</f>
        <v>0</v>
      </c>
      <c r="C38" s="150">
        <f t="shared" si="30"/>
        <v>0</v>
      </c>
      <c r="D38" s="70">
        <f t="shared" si="30"/>
        <v>0</v>
      </c>
      <c r="E38" s="150">
        <f t="shared" si="30"/>
        <v>0</v>
      </c>
      <c r="F38" s="70">
        <f t="shared" si="30"/>
        <v>0</v>
      </c>
      <c r="G38" s="150">
        <f t="shared" si="30"/>
        <v>0</v>
      </c>
      <c r="H38" s="70">
        <f t="shared" si="30"/>
        <v>0</v>
      </c>
      <c r="I38" s="163">
        <f t="shared" ref="I38:I43" si="31">SUM(B38:H38)</f>
        <v>0</v>
      </c>
      <c r="J38" s="50"/>
      <c r="K38" s="105"/>
      <c r="L38" s="68"/>
      <c r="M38" s="68"/>
      <c r="N38" s="68"/>
      <c r="O38" s="68"/>
      <c r="P38" s="68"/>
      <c r="Q38" s="68"/>
      <c r="R38" s="172">
        <f t="shared" ref="R38:R43" si="32">SUM(K38:Q38)</f>
        <v>0</v>
      </c>
      <c r="S38" s="71"/>
      <c r="T38" s="68"/>
      <c r="U38" s="68"/>
      <c r="V38" s="68"/>
      <c r="W38" s="68"/>
      <c r="X38" s="68"/>
      <c r="Y38" s="68"/>
      <c r="Z38" s="172">
        <f t="shared" ref="Z38:Z43" si="33">SUM(S38:Y38)</f>
        <v>0</v>
      </c>
      <c r="AA38" s="71"/>
      <c r="AB38" s="68"/>
      <c r="AC38" s="68"/>
      <c r="AD38" s="68"/>
      <c r="AE38" s="68"/>
      <c r="AF38" s="68"/>
      <c r="AG38" s="68"/>
      <c r="AH38" s="172">
        <f t="shared" ref="AH38:AH43" si="34">SUM(AA38:AG38)</f>
        <v>0</v>
      </c>
      <c r="AI38" s="85"/>
      <c r="AJ38" s="69"/>
      <c r="AK38" s="69"/>
      <c r="AL38" s="69"/>
      <c r="AM38" s="69"/>
      <c r="AN38" s="69"/>
      <c r="AO38" s="69"/>
      <c r="AP38" s="172">
        <f t="shared" ref="AP38:AP43" si="35">SUM(AI38:AO38)</f>
        <v>0</v>
      </c>
      <c r="AQ38" s="85"/>
      <c r="AR38" s="69"/>
      <c r="AS38" s="69"/>
      <c r="AT38" s="69"/>
      <c r="AU38" s="69"/>
      <c r="AV38" s="69"/>
      <c r="AW38" s="69"/>
      <c r="AX38" s="172">
        <f t="shared" ref="AX38:AX43" si="36">SUM(AQ38:AW38)</f>
        <v>0</v>
      </c>
      <c r="AY38" s="85"/>
      <c r="AZ38" s="69"/>
      <c r="BA38" s="69"/>
      <c r="BB38" s="69"/>
      <c r="BC38" s="69"/>
      <c r="BD38" s="69"/>
      <c r="BE38" s="69"/>
      <c r="BF38" s="172">
        <f t="shared" ref="BF38:BF43" si="37">SUM(AY38:BE38)</f>
        <v>0</v>
      </c>
      <c r="BG38" s="85"/>
      <c r="BH38" s="69"/>
      <c r="BI38" s="69"/>
      <c r="BJ38" s="69"/>
      <c r="BK38" s="69"/>
      <c r="BL38" s="69"/>
      <c r="BM38" s="69"/>
      <c r="BN38" s="172">
        <f t="shared" ref="BN38:BN43" si="38">SUM(BG38:BM38)</f>
        <v>0</v>
      </c>
      <c r="BO38" s="85"/>
      <c r="BP38" s="69"/>
      <c r="BQ38" s="69"/>
      <c r="BR38" s="69"/>
      <c r="BS38" s="69"/>
      <c r="BT38" s="69"/>
      <c r="BU38" s="69"/>
      <c r="BV38" s="172">
        <f t="shared" ref="BV38:BV43" si="39">SUM(BO38:BU38)</f>
        <v>0</v>
      </c>
      <c r="BW38" s="85"/>
      <c r="BX38" s="69"/>
      <c r="BY38" s="69"/>
      <c r="BZ38" s="69"/>
      <c r="CA38" s="69"/>
      <c r="CB38" s="69"/>
      <c r="CC38" s="69"/>
      <c r="CD38" s="172">
        <f t="shared" ref="CD38:CD43" si="40">SUM(BW38:CC38)</f>
        <v>0</v>
      </c>
      <c r="CE38" s="85"/>
      <c r="CF38" s="69"/>
      <c r="CG38" s="69"/>
      <c r="CH38" s="69"/>
      <c r="CI38" s="69"/>
      <c r="CJ38" s="69"/>
      <c r="CK38" s="69"/>
      <c r="CL38" s="172">
        <f t="shared" ref="CL38:CL43" si="41">SUM(CE38:CK38)</f>
        <v>0</v>
      </c>
      <c r="CM38" s="85"/>
      <c r="CN38" s="69"/>
      <c r="CO38" s="69"/>
      <c r="CP38" s="69"/>
      <c r="CQ38" s="69"/>
      <c r="CR38" s="69"/>
      <c r="CS38" s="69"/>
      <c r="CT38" s="172">
        <f t="shared" ref="CT38:CT43" si="42">SUM(CM38:CS38)</f>
        <v>0</v>
      </c>
      <c r="CU38" s="85"/>
      <c r="CV38" s="69"/>
      <c r="CW38" s="69"/>
      <c r="CX38" s="69"/>
      <c r="CY38" s="69"/>
      <c r="CZ38" s="69"/>
      <c r="DA38" s="69"/>
      <c r="DB38" s="172">
        <f t="shared" ref="DB38:DB43" si="43">SUM(CU38:DA38)</f>
        <v>0</v>
      </c>
      <c r="DC38" s="85"/>
      <c r="DD38" s="69"/>
      <c r="DE38" s="69"/>
      <c r="DF38" s="69"/>
      <c r="DG38" s="69"/>
      <c r="DH38" s="69"/>
      <c r="DI38" s="69"/>
      <c r="DJ38" s="172">
        <f t="shared" ref="DJ38:DJ43" si="44">SUM(DC38:DI38)</f>
        <v>0</v>
      </c>
      <c r="DK38" s="85"/>
      <c r="DL38" s="69"/>
      <c r="DM38" s="69"/>
      <c r="DN38" s="69"/>
      <c r="DO38" s="69"/>
      <c r="DP38" s="69"/>
      <c r="DQ38" s="69"/>
      <c r="DR38" s="172">
        <f t="shared" ref="DR38:DR43" si="45">SUM(DK38:DQ38)</f>
        <v>0</v>
      </c>
      <c r="DS38" s="85"/>
      <c r="DT38" s="69"/>
      <c r="DU38" s="69"/>
      <c r="DV38" s="69"/>
      <c r="DW38" s="69"/>
      <c r="DX38" s="69"/>
      <c r="DY38" s="69"/>
      <c r="DZ38" s="172">
        <f t="shared" ref="DZ38:DZ43" si="46">SUM(DS38:DY38)</f>
        <v>0</v>
      </c>
      <c r="EA38" s="85"/>
      <c r="EB38" s="69"/>
      <c r="EC38" s="69"/>
      <c r="ED38" s="69"/>
      <c r="EE38" s="69"/>
      <c r="EF38" s="69"/>
      <c r="EG38" s="69"/>
      <c r="EH38" s="172">
        <f t="shared" ref="EH38:EH43" si="47">SUM(EA38:EG38)</f>
        <v>0</v>
      </c>
    </row>
    <row r="39" spans="1:138" ht="15" x14ac:dyDescent="0.2">
      <c r="A39" s="162">
        <v>44341</v>
      </c>
      <c r="B39" s="70">
        <f t="shared" si="30"/>
        <v>0</v>
      </c>
      <c r="C39" s="150">
        <f t="shared" si="30"/>
        <v>0</v>
      </c>
      <c r="D39" s="70">
        <f t="shared" si="30"/>
        <v>0</v>
      </c>
      <c r="E39" s="150">
        <f t="shared" si="30"/>
        <v>0</v>
      </c>
      <c r="F39" s="70">
        <f t="shared" si="30"/>
        <v>0</v>
      </c>
      <c r="G39" s="150">
        <f t="shared" si="30"/>
        <v>0</v>
      </c>
      <c r="H39" s="70">
        <f t="shared" si="30"/>
        <v>0</v>
      </c>
      <c r="I39" s="163">
        <f t="shared" si="31"/>
        <v>0</v>
      </c>
      <c r="J39" s="50"/>
      <c r="K39" s="105"/>
      <c r="L39" s="68"/>
      <c r="M39" s="68"/>
      <c r="N39" s="68"/>
      <c r="O39" s="68"/>
      <c r="P39" s="68"/>
      <c r="Q39" s="68"/>
      <c r="R39" s="172">
        <f t="shared" si="32"/>
        <v>0</v>
      </c>
      <c r="S39" s="71"/>
      <c r="T39" s="68"/>
      <c r="U39" s="68"/>
      <c r="V39" s="68"/>
      <c r="W39" s="68"/>
      <c r="X39" s="68"/>
      <c r="Y39" s="68"/>
      <c r="Z39" s="172">
        <f t="shared" si="33"/>
        <v>0</v>
      </c>
      <c r="AA39" s="71"/>
      <c r="AB39" s="68"/>
      <c r="AC39" s="68"/>
      <c r="AD39" s="68"/>
      <c r="AE39" s="68"/>
      <c r="AF39" s="68"/>
      <c r="AG39" s="68"/>
      <c r="AH39" s="172">
        <f t="shared" si="34"/>
        <v>0</v>
      </c>
      <c r="AI39" s="85"/>
      <c r="AJ39" s="69"/>
      <c r="AK39" s="69"/>
      <c r="AL39" s="69"/>
      <c r="AM39" s="69"/>
      <c r="AN39" s="69"/>
      <c r="AO39" s="69"/>
      <c r="AP39" s="172">
        <f t="shared" si="35"/>
        <v>0</v>
      </c>
      <c r="AQ39" s="85"/>
      <c r="AR39" s="69"/>
      <c r="AS39" s="69"/>
      <c r="AT39" s="69"/>
      <c r="AU39" s="69"/>
      <c r="AV39" s="69"/>
      <c r="AW39" s="69"/>
      <c r="AX39" s="172">
        <f t="shared" si="36"/>
        <v>0</v>
      </c>
      <c r="AY39" s="85"/>
      <c r="AZ39" s="69"/>
      <c r="BA39" s="69"/>
      <c r="BB39" s="69"/>
      <c r="BC39" s="69"/>
      <c r="BD39" s="69"/>
      <c r="BE39" s="69"/>
      <c r="BF39" s="172">
        <f t="shared" si="37"/>
        <v>0</v>
      </c>
      <c r="BG39" s="85"/>
      <c r="BH39" s="69"/>
      <c r="BI39" s="69"/>
      <c r="BJ39" s="69"/>
      <c r="BK39" s="69"/>
      <c r="BL39" s="69"/>
      <c r="BM39" s="69"/>
      <c r="BN39" s="172">
        <f t="shared" si="38"/>
        <v>0</v>
      </c>
      <c r="BO39" s="85"/>
      <c r="BP39" s="69"/>
      <c r="BQ39" s="69"/>
      <c r="BR39" s="69"/>
      <c r="BS39" s="69"/>
      <c r="BT39" s="69"/>
      <c r="BU39" s="69"/>
      <c r="BV39" s="172">
        <f t="shared" si="39"/>
        <v>0</v>
      </c>
      <c r="BW39" s="85"/>
      <c r="BX39" s="69"/>
      <c r="BY39" s="69"/>
      <c r="BZ39" s="69"/>
      <c r="CA39" s="69"/>
      <c r="CB39" s="69"/>
      <c r="CC39" s="69"/>
      <c r="CD39" s="172">
        <f t="shared" si="40"/>
        <v>0</v>
      </c>
      <c r="CE39" s="85"/>
      <c r="CF39" s="69"/>
      <c r="CG39" s="69"/>
      <c r="CH39" s="69"/>
      <c r="CI39" s="69"/>
      <c r="CJ39" s="69"/>
      <c r="CK39" s="69"/>
      <c r="CL39" s="172">
        <f t="shared" si="41"/>
        <v>0</v>
      </c>
      <c r="CM39" s="85"/>
      <c r="CN39" s="69"/>
      <c r="CO39" s="69"/>
      <c r="CP39" s="69"/>
      <c r="CQ39" s="69"/>
      <c r="CR39" s="69"/>
      <c r="CS39" s="69"/>
      <c r="CT39" s="172">
        <f t="shared" si="42"/>
        <v>0</v>
      </c>
      <c r="CU39" s="85"/>
      <c r="CV39" s="69"/>
      <c r="CW39" s="69"/>
      <c r="CX39" s="69"/>
      <c r="CY39" s="69"/>
      <c r="CZ39" s="69"/>
      <c r="DA39" s="69"/>
      <c r="DB39" s="172">
        <f t="shared" si="43"/>
        <v>0</v>
      </c>
      <c r="DC39" s="85"/>
      <c r="DD39" s="69"/>
      <c r="DE39" s="69"/>
      <c r="DF39" s="69"/>
      <c r="DG39" s="69"/>
      <c r="DH39" s="69"/>
      <c r="DI39" s="69"/>
      <c r="DJ39" s="172">
        <f t="shared" si="44"/>
        <v>0</v>
      </c>
      <c r="DK39" s="85"/>
      <c r="DL39" s="69"/>
      <c r="DM39" s="69"/>
      <c r="DN39" s="69"/>
      <c r="DO39" s="69"/>
      <c r="DP39" s="69"/>
      <c r="DQ39" s="69"/>
      <c r="DR39" s="172">
        <f t="shared" si="45"/>
        <v>0</v>
      </c>
      <c r="DS39" s="85"/>
      <c r="DT39" s="69"/>
      <c r="DU39" s="69"/>
      <c r="DV39" s="69"/>
      <c r="DW39" s="69"/>
      <c r="DX39" s="69"/>
      <c r="DY39" s="69"/>
      <c r="DZ39" s="172">
        <f t="shared" si="46"/>
        <v>0</v>
      </c>
      <c r="EA39" s="85"/>
      <c r="EB39" s="69"/>
      <c r="EC39" s="69"/>
      <c r="ED39" s="69"/>
      <c r="EE39" s="69"/>
      <c r="EF39" s="69"/>
      <c r="EG39" s="69"/>
      <c r="EH39" s="172">
        <f t="shared" si="47"/>
        <v>0</v>
      </c>
    </row>
    <row r="40" spans="1:138" ht="15" x14ac:dyDescent="0.2">
      <c r="A40" s="162">
        <v>44342</v>
      </c>
      <c r="B40" s="70">
        <f t="shared" si="30"/>
        <v>0</v>
      </c>
      <c r="C40" s="150">
        <f t="shared" si="30"/>
        <v>0</v>
      </c>
      <c r="D40" s="70">
        <f t="shared" si="30"/>
        <v>0</v>
      </c>
      <c r="E40" s="150">
        <f t="shared" si="30"/>
        <v>0</v>
      </c>
      <c r="F40" s="70">
        <f t="shared" si="30"/>
        <v>0</v>
      </c>
      <c r="G40" s="150">
        <f t="shared" si="30"/>
        <v>0</v>
      </c>
      <c r="H40" s="70">
        <f t="shared" si="30"/>
        <v>0</v>
      </c>
      <c r="I40" s="163">
        <f t="shared" si="31"/>
        <v>0</v>
      </c>
      <c r="J40" s="50"/>
      <c r="K40" s="105"/>
      <c r="L40" s="68"/>
      <c r="M40" s="68"/>
      <c r="N40" s="68"/>
      <c r="O40" s="68"/>
      <c r="P40" s="68"/>
      <c r="Q40" s="68"/>
      <c r="R40" s="172">
        <f t="shared" si="32"/>
        <v>0</v>
      </c>
      <c r="S40" s="71"/>
      <c r="T40" s="68"/>
      <c r="U40" s="68"/>
      <c r="V40" s="68"/>
      <c r="W40" s="68"/>
      <c r="X40" s="68"/>
      <c r="Y40" s="68"/>
      <c r="Z40" s="172">
        <f t="shared" si="33"/>
        <v>0</v>
      </c>
      <c r="AA40" s="71"/>
      <c r="AB40" s="68"/>
      <c r="AC40" s="68"/>
      <c r="AD40" s="68"/>
      <c r="AE40" s="68"/>
      <c r="AF40" s="68"/>
      <c r="AG40" s="68"/>
      <c r="AH40" s="172">
        <f t="shared" si="34"/>
        <v>0</v>
      </c>
      <c r="AI40" s="85"/>
      <c r="AJ40" s="69"/>
      <c r="AK40" s="69"/>
      <c r="AL40" s="69"/>
      <c r="AM40" s="69"/>
      <c r="AN40" s="69"/>
      <c r="AO40" s="69"/>
      <c r="AP40" s="172">
        <f t="shared" si="35"/>
        <v>0</v>
      </c>
      <c r="AQ40" s="85"/>
      <c r="AR40" s="69"/>
      <c r="AS40" s="69"/>
      <c r="AT40" s="69"/>
      <c r="AU40" s="69"/>
      <c r="AV40" s="69"/>
      <c r="AW40" s="69"/>
      <c r="AX40" s="172">
        <f t="shared" si="36"/>
        <v>0</v>
      </c>
      <c r="AY40" s="85"/>
      <c r="AZ40" s="69"/>
      <c r="BA40" s="69"/>
      <c r="BB40" s="69"/>
      <c r="BC40" s="69"/>
      <c r="BD40" s="69"/>
      <c r="BE40" s="69"/>
      <c r="BF40" s="172">
        <f t="shared" si="37"/>
        <v>0</v>
      </c>
      <c r="BG40" s="85"/>
      <c r="BH40" s="69"/>
      <c r="BI40" s="69"/>
      <c r="BJ40" s="69"/>
      <c r="BK40" s="69"/>
      <c r="BL40" s="69"/>
      <c r="BM40" s="69"/>
      <c r="BN40" s="172">
        <f t="shared" si="38"/>
        <v>0</v>
      </c>
      <c r="BO40" s="85"/>
      <c r="BP40" s="69"/>
      <c r="BQ40" s="69"/>
      <c r="BR40" s="69"/>
      <c r="BS40" s="69"/>
      <c r="BT40" s="69"/>
      <c r="BU40" s="69"/>
      <c r="BV40" s="172">
        <f t="shared" si="39"/>
        <v>0</v>
      </c>
      <c r="BW40" s="85"/>
      <c r="BX40" s="69"/>
      <c r="BY40" s="69"/>
      <c r="BZ40" s="69"/>
      <c r="CA40" s="69"/>
      <c r="CB40" s="69"/>
      <c r="CC40" s="69"/>
      <c r="CD40" s="172">
        <f t="shared" si="40"/>
        <v>0</v>
      </c>
      <c r="CE40" s="85"/>
      <c r="CF40" s="69"/>
      <c r="CG40" s="69"/>
      <c r="CH40" s="69"/>
      <c r="CI40" s="69"/>
      <c r="CJ40" s="69"/>
      <c r="CK40" s="69"/>
      <c r="CL40" s="172">
        <f t="shared" si="41"/>
        <v>0</v>
      </c>
      <c r="CM40" s="85"/>
      <c r="CN40" s="69"/>
      <c r="CO40" s="69"/>
      <c r="CP40" s="69"/>
      <c r="CQ40" s="69"/>
      <c r="CR40" s="69"/>
      <c r="CS40" s="69"/>
      <c r="CT40" s="172">
        <f t="shared" si="42"/>
        <v>0</v>
      </c>
      <c r="CU40" s="85"/>
      <c r="CV40" s="69"/>
      <c r="CW40" s="69"/>
      <c r="CX40" s="69"/>
      <c r="CY40" s="69"/>
      <c r="CZ40" s="69"/>
      <c r="DA40" s="69"/>
      <c r="DB40" s="172">
        <f t="shared" si="43"/>
        <v>0</v>
      </c>
      <c r="DC40" s="85"/>
      <c r="DD40" s="69"/>
      <c r="DE40" s="69"/>
      <c r="DF40" s="69"/>
      <c r="DG40" s="69"/>
      <c r="DH40" s="69"/>
      <c r="DI40" s="69"/>
      <c r="DJ40" s="172">
        <f t="shared" si="44"/>
        <v>0</v>
      </c>
      <c r="DK40" s="85"/>
      <c r="DL40" s="69"/>
      <c r="DM40" s="69"/>
      <c r="DN40" s="69"/>
      <c r="DO40" s="69"/>
      <c r="DP40" s="69"/>
      <c r="DQ40" s="69"/>
      <c r="DR40" s="172">
        <f t="shared" si="45"/>
        <v>0</v>
      </c>
      <c r="DS40" s="85"/>
      <c r="DT40" s="69"/>
      <c r="DU40" s="69"/>
      <c r="DV40" s="69"/>
      <c r="DW40" s="69"/>
      <c r="DX40" s="69"/>
      <c r="DY40" s="69"/>
      <c r="DZ40" s="172">
        <f t="shared" si="46"/>
        <v>0</v>
      </c>
      <c r="EA40" s="85"/>
      <c r="EB40" s="69"/>
      <c r="EC40" s="69"/>
      <c r="ED40" s="69"/>
      <c r="EE40" s="69"/>
      <c r="EF40" s="69"/>
      <c r="EG40" s="69"/>
      <c r="EH40" s="172">
        <f t="shared" si="47"/>
        <v>0</v>
      </c>
    </row>
    <row r="41" spans="1:138" ht="15" x14ac:dyDescent="0.2">
      <c r="A41" s="162">
        <v>44343</v>
      </c>
      <c r="B41" s="70">
        <f t="shared" si="30"/>
        <v>0</v>
      </c>
      <c r="C41" s="150">
        <f t="shared" si="30"/>
        <v>0</v>
      </c>
      <c r="D41" s="70">
        <f t="shared" si="30"/>
        <v>0</v>
      </c>
      <c r="E41" s="150">
        <f t="shared" si="30"/>
        <v>0</v>
      </c>
      <c r="F41" s="70">
        <f t="shared" si="30"/>
        <v>0</v>
      </c>
      <c r="G41" s="150">
        <f t="shared" si="30"/>
        <v>0</v>
      </c>
      <c r="H41" s="70">
        <f t="shared" si="30"/>
        <v>0</v>
      </c>
      <c r="I41" s="163">
        <f t="shared" si="31"/>
        <v>0</v>
      </c>
      <c r="J41" s="50"/>
      <c r="K41" s="105"/>
      <c r="L41" s="68"/>
      <c r="M41" s="68"/>
      <c r="N41" s="68"/>
      <c r="O41" s="68"/>
      <c r="P41" s="68"/>
      <c r="Q41" s="68"/>
      <c r="R41" s="172">
        <f t="shared" si="32"/>
        <v>0</v>
      </c>
      <c r="S41" s="71"/>
      <c r="T41" s="68"/>
      <c r="U41" s="68"/>
      <c r="V41" s="68"/>
      <c r="W41" s="68"/>
      <c r="X41" s="68"/>
      <c r="Y41" s="68"/>
      <c r="Z41" s="172">
        <f t="shared" si="33"/>
        <v>0</v>
      </c>
      <c r="AA41" s="71"/>
      <c r="AB41" s="68"/>
      <c r="AC41" s="68"/>
      <c r="AD41" s="68"/>
      <c r="AE41" s="68"/>
      <c r="AF41" s="68"/>
      <c r="AG41" s="68"/>
      <c r="AH41" s="172">
        <f t="shared" si="34"/>
        <v>0</v>
      </c>
      <c r="AI41" s="85"/>
      <c r="AJ41" s="69"/>
      <c r="AK41" s="69"/>
      <c r="AL41" s="69"/>
      <c r="AM41" s="69"/>
      <c r="AN41" s="69"/>
      <c r="AO41" s="69"/>
      <c r="AP41" s="172">
        <f t="shared" si="35"/>
        <v>0</v>
      </c>
      <c r="AQ41" s="85"/>
      <c r="AR41" s="69"/>
      <c r="AS41" s="69"/>
      <c r="AT41" s="69"/>
      <c r="AU41" s="69"/>
      <c r="AV41" s="69"/>
      <c r="AW41" s="69"/>
      <c r="AX41" s="172">
        <f t="shared" si="36"/>
        <v>0</v>
      </c>
      <c r="AY41" s="85"/>
      <c r="AZ41" s="69"/>
      <c r="BA41" s="69"/>
      <c r="BB41" s="69"/>
      <c r="BC41" s="69"/>
      <c r="BD41" s="69"/>
      <c r="BE41" s="69"/>
      <c r="BF41" s="172">
        <f t="shared" si="37"/>
        <v>0</v>
      </c>
      <c r="BG41" s="85"/>
      <c r="BH41" s="69"/>
      <c r="BI41" s="69"/>
      <c r="BJ41" s="69"/>
      <c r="BK41" s="69"/>
      <c r="BL41" s="69"/>
      <c r="BM41" s="69"/>
      <c r="BN41" s="172">
        <f t="shared" si="38"/>
        <v>0</v>
      </c>
      <c r="BO41" s="85"/>
      <c r="BP41" s="69"/>
      <c r="BQ41" s="69"/>
      <c r="BR41" s="69"/>
      <c r="BS41" s="69"/>
      <c r="BT41" s="69"/>
      <c r="BU41" s="69"/>
      <c r="BV41" s="172">
        <f t="shared" si="39"/>
        <v>0</v>
      </c>
      <c r="BW41" s="85"/>
      <c r="BX41" s="69"/>
      <c r="BY41" s="69"/>
      <c r="BZ41" s="69"/>
      <c r="CA41" s="69"/>
      <c r="CB41" s="69"/>
      <c r="CC41" s="69"/>
      <c r="CD41" s="172">
        <f t="shared" si="40"/>
        <v>0</v>
      </c>
      <c r="CE41" s="85"/>
      <c r="CF41" s="69"/>
      <c r="CG41" s="69"/>
      <c r="CH41" s="69"/>
      <c r="CI41" s="69"/>
      <c r="CJ41" s="69"/>
      <c r="CK41" s="69"/>
      <c r="CL41" s="172">
        <f t="shared" si="41"/>
        <v>0</v>
      </c>
      <c r="CM41" s="85"/>
      <c r="CN41" s="69"/>
      <c r="CO41" s="69"/>
      <c r="CP41" s="69"/>
      <c r="CQ41" s="69"/>
      <c r="CR41" s="69"/>
      <c r="CS41" s="69"/>
      <c r="CT41" s="172">
        <f t="shared" si="42"/>
        <v>0</v>
      </c>
      <c r="CU41" s="85"/>
      <c r="CV41" s="69"/>
      <c r="CW41" s="69"/>
      <c r="CX41" s="69"/>
      <c r="CY41" s="69"/>
      <c r="CZ41" s="69"/>
      <c r="DA41" s="69"/>
      <c r="DB41" s="172">
        <f t="shared" si="43"/>
        <v>0</v>
      </c>
      <c r="DC41" s="85"/>
      <c r="DD41" s="69"/>
      <c r="DE41" s="69"/>
      <c r="DF41" s="69"/>
      <c r="DG41" s="69"/>
      <c r="DH41" s="69"/>
      <c r="DI41" s="69"/>
      <c r="DJ41" s="172">
        <f t="shared" si="44"/>
        <v>0</v>
      </c>
      <c r="DK41" s="85"/>
      <c r="DL41" s="69"/>
      <c r="DM41" s="69"/>
      <c r="DN41" s="69"/>
      <c r="DO41" s="69"/>
      <c r="DP41" s="69"/>
      <c r="DQ41" s="69"/>
      <c r="DR41" s="172">
        <f t="shared" si="45"/>
        <v>0</v>
      </c>
      <c r="DS41" s="85"/>
      <c r="DT41" s="69"/>
      <c r="DU41" s="69"/>
      <c r="DV41" s="69"/>
      <c r="DW41" s="69"/>
      <c r="DX41" s="69"/>
      <c r="DY41" s="69"/>
      <c r="DZ41" s="172">
        <f t="shared" si="46"/>
        <v>0</v>
      </c>
      <c r="EA41" s="85"/>
      <c r="EB41" s="69"/>
      <c r="EC41" s="69"/>
      <c r="ED41" s="69"/>
      <c r="EE41" s="69"/>
      <c r="EF41" s="69"/>
      <c r="EG41" s="69"/>
      <c r="EH41" s="172">
        <f t="shared" si="47"/>
        <v>0</v>
      </c>
    </row>
    <row r="42" spans="1:138" ht="15" x14ac:dyDescent="0.2">
      <c r="A42" s="162">
        <v>44344</v>
      </c>
      <c r="B42" s="70">
        <f t="shared" si="30"/>
        <v>0</v>
      </c>
      <c r="C42" s="150">
        <f t="shared" si="30"/>
        <v>0</v>
      </c>
      <c r="D42" s="70">
        <f t="shared" si="30"/>
        <v>0</v>
      </c>
      <c r="E42" s="150">
        <f t="shared" si="30"/>
        <v>0</v>
      </c>
      <c r="F42" s="70">
        <f t="shared" si="30"/>
        <v>0</v>
      </c>
      <c r="G42" s="150">
        <f t="shared" si="30"/>
        <v>0</v>
      </c>
      <c r="H42" s="70">
        <f t="shared" si="30"/>
        <v>0</v>
      </c>
      <c r="I42" s="163">
        <f t="shared" si="31"/>
        <v>0</v>
      </c>
      <c r="J42" s="50"/>
      <c r="K42" s="105"/>
      <c r="L42" s="68"/>
      <c r="M42" s="68"/>
      <c r="N42" s="68"/>
      <c r="O42" s="68"/>
      <c r="P42" s="68"/>
      <c r="Q42" s="68"/>
      <c r="R42" s="172">
        <f t="shared" si="32"/>
        <v>0</v>
      </c>
      <c r="S42" s="71"/>
      <c r="T42" s="68"/>
      <c r="U42" s="68"/>
      <c r="V42" s="68"/>
      <c r="W42" s="68"/>
      <c r="X42" s="68"/>
      <c r="Y42" s="68"/>
      <c r="Z42" s="172">
        <f t="shared" si="33"/>
        <v>0</v>
      </c>
      <c r="AA42" s="71"/>
      <c r="AB42" s="68"/>
      <c r="AC42" s="68"/>
      <c r="AD42" s="68"/>
      <c r="AE42" s="68"/>
      <c r="AF42" s="68"/>
      <c r="AG42" s="68"/>
      <c r="AH42" s="172">
        <f t="shared" si="34"/>
        <v>0</v>
      </c>
      <c r="AI42" s="85"/>
      <c r="AJ42" s="69"/>
      <c r="AK42" s="69"/>
      <c r="AL42" s="69"/>
      <c r="AM42" s="69"/>
      <c r="AN42" s="69"/>
      <c r="AO42" s="69"/>
      <c r="AP42" s="172">
        <f t="shared" si="35"/>
        <v>0</v>
      </c>
      <c r="AQ42" s="85"/>
      <c r="AR42" s="69"/>
      <c r="AS42" s="69"/>
      <c r="AT42" s="69"/>
      <c r="AU42" s="69"/>
      <c r="AV42" s="69"/>
      <c r="AW42" s="69"/>
      <c r="AX42" s="172">
        <f t="shared" si="36"/>
        <v>0</v>
      </c>
      <c r="AY42" s="85"/>
      <c r="AZ42" s="69"/>
      <c r="BA42" s="69"/>
      <c r="BB42" s="69"/>
      <c r="BC42" s="69"/>
      <c r="BD42" s="69"/>
      <c r="BE42" s="69"/>
      <c r="BF42" s="172">
        <f t="shared" si="37"/>
        <v>0</v>
      </c>
      <c r="BG42" s="85"/>
      <c r="BH42" s="69"/>
      <c r="BI42" s="69"/>
      <c r="BJ42" s="69"/>
      <c r="BK42" s="69"/>
      <c r="BL42" s="69"/>
      <c r="BM42" s="69"/>
      <c r="BN42" s="172">
        <f t="shared" si="38"/>
        <v>0</v>
      </c>
      <c r="BO42" s="85"/>
      <c r="BP42" s="69"/>
      <c r="BQ42" s="69"/>
      <c r="BR42" s="69"/>
      <c r="BS42" s="69"/>
      <c r="BT42" s="69"/>
      <c r="BU42" s="69"/>
      <c r="BV42" s="172">
        <f t="shared" si="39"/>
        <v>0</v>
      </c>
      <c r="BW42" s="85"/>
      <c r="BX42" s="69"/>
      <c r="BY42" s="69"/>
      <c r="BZ42" s="69"/>
      <c r="CA42" s="69"/>
      <c r="CB42" s="69"/>
      <c r="CC42" s="69"/>
      <c r="CD42" s="172">
        <f t="shared" si="40"/>
        <v>0</v>
      </c>
      <c r="CE42" s="85"/>
      <c r="CF42" s="69"/>
      <c r="CG42" s="69"/>
      <c r="CH42" s="69"/>
      <c r="CI42" s="69"/>
      <c r="CJ42" s="69"/>
      <c r="CK42" s="69"/>
      <c r="CL42" s="172">
        <f t="shared" si="41"/>
        <v>0</v>
      </c>
      <c r="CM42" s="85"/>
      <c r="CN42" s="69"/>
      <c r="CO42" s="69"/>
      <c r="CP42" s="69"/>
      <c r="CQ42" s="69"/>
      <c r="CR42" s="69"/>
      <c r="CS42" s="69"/>
      <c r="CT42" s="172">
        <f t="shared" si="42"/>
        <v>0</v>
      </c>
      <c r="CU42" s="85"/>
      <c r="CV42" s="69"/>
      <c r="CW42" s="69"/>
      <c r="CX42" s="69"/>
      <c r="CY42" s="69"/>
      <c r="CZ42" s="69"/>
      <c r="DA42" s="69"/>
      <c r="DB42" s="172">
        <f t="shared" si="43"/>
        <v>0</v>
      </c>
      <c r="DC42" s="85"/>
      <c r="DD42" s="69"/>
      <c r="DE42" s="69"/>
      <c r="DF42" s="69"/>
      <c r="DG42" s="69"/>
      <c r="DH42" s="69"/>
      <c r="DI42" s="69"/>
      <c r="DJ42" s="172">
        <f t="shared" si="44"/>
        <v>0</v>
      </c>
      <c r="DK42" s="85"/>
      <c r="DL42" s="69"/>
      <c r="DM42" s="69"/>
      <c r="DN42" s="69"/>
      <c r="DO42" s="69"/>
      <c r="DP42" s="69"/>
      <c r="DQ42" s="69"/>
      <c r="DR42" s="172">
        <f t="shared" si="45"/>
        <v>0</v>
      </c>
      <c r="DS42" s="85"/>
      <c r="DT42" s="69"/>
      <c r="DU42" s="69"/>
      <c r="DV42" s="69"/>
      <c r="DW42" s="69"/>
      <c r="DX42" s="69"/>
      <c r="DY42" s="69"/>
      <c r="DZ42" s="172">
        <f t="shared" si="46"/>
        <v>0</v>
      </c>
      <c r="EA42" s="85"/>
      <c r="EB42" s="69"/>
      <c r="EC42" s="69"/>
      <c r="ED42" s="69"/>
      <c r="EE42" s="69"/>
      <c r="EF42" s="69"/>
      <c r="EG42" s="69"/>
      <c r="EH42" s="172">
        <f t="shared" si="47"/>
        <v>0</v>
      </c>
    </row>
    <row r="43" spans="1:138" ht="15" x14ac:dyDescent="0.2">
      <c r="A43" s="162">
        <v>44345</v>
      </c>
      <c r="B43" s="70">
        <f t="shared" si="30"/>
        <v>0</v>
      </c>
      <c r="C43" s="150">
        <f t="shared" si="30"/>
        <v>0</v>
      </c>
      <c r="D43" s="70">
        <f t="shared" si="30"/>
        <v>0</v>
      </c>
      <c r="E43" s="150">
        <f t="shared" si="30"/>
        <v>0</v>
      </c>
      <c r="F43" s="70">
        <f t="shared" si="30"/>
        <v>0</v>
      </c>
      <c r="G43" s="150">
        <f t="shared" si="30"/>
        <v>0</v>
      </c>
      <c r="H43" s="70">
        <f t="shared" si="30"/>
        <v>0</v>
      </c>
      <c r="I43" s="163">
        <f t="shared" si="31"/>
        <v>0</v>
      </c>
      <c r="J43" s="50"/>
      <c r="K43" s="105"/>
      <c r="L43" s="68"/>
      <c r="M43" s="68"/>
      <c r="N43" s="68"/>
      <c r="O43" s="68"/>
      <c r="P43" s="68"/>
      <c r="Q43" s="68"/>
      <c r="R43" s="172">
        <f t="shared" si="32"/>
        <v>0</v>
      </c>
      <c r="S43" s="71"/>
      <c r="T43" s="68"/>
      <c r="U43" s="68"/>
      <c r="V43" s="68"/>
      <c r="W43" s="68"/>
      <c r="X43" s="68"/>
      <c r="Y43" s="68"/>
      <c r="Z43" s="172">
        <f t="shared" si="33"/>
        <v>0</v>
      </c>
      <c r="AA43" s="71"/>
      <c r="AB43" s="68"/>
      <c r="AC43" s="68"/>
      <c r="AD43" s="68"/>
      <c r="AE43" s="68"/>
      <c r="AF43" s="68"/>
      <c r="AG43" s="68"/>
      <c r="AH43" s="172">
        <f t="shared" si="34"/>
        <v>0</v>
      </c>
      <c r="AI43" s="71"/>
      <c r="AJ43" s="68"/>
      <c r="AK43" s="68"/>
      <c r="AL43" s="68"/>
      <c r="AM43" s="68"/>
      <c r="AN43" s="68"/>
      <c r="AO43" s="68"/>
      <c r="AP43" s="172">
        <f t="shared" si="35"/>
        <v>0</v>
      </c>
      <c r="AQ43" s="71"/>
      <c r="AR43" s="68"/>
      <c r="AS43" s="68"/>
      <c r="AT43" s="68"/>
      <c r="AU43" s="68"/>
      <c r="AV43" s="68"/>
      <c r="AW43" s="68"/>
      <c r="AX43" s="172">
        <f t="shared" si="36"/>
        <v>0</v>
      </c>
      <c r="AY43" s="71"/>
      <c r="AZ43" s="68"/>
      <c r="BA43" s="68"/>
      <c r="BB43" s="68"/>
      <c r="BC43" s="68"/>
      <c r="BD43" s="68"/>
      <c r="BE43" s="68"/>
      <c r="BF43" s="172">
        <f t="shared" si="37"/>
        <v>0</v>
      </c>
      <c r="BG43" s="71"/>
      <c r="BH43" s="68"/>
      <c r="BI43" s="68"/>
      <c r="BJ43" s="68"/>
      <c r="BK43" s="68"/>
      <c r="BL43" s="68"/>
      <c r="BM43" s="68"/>
      <c r="BN43" s="172">
        <f t="shared" si="38"/>
        <v>0</v>
      </c>
      <c r="BO43" s="71"/>
      <c r="BP43" s="68"/>
      <c r="BQ43" s="68"/>
      <c r="BR43" s="68"/>
      <c r="BS43" s="68"/>
      <c r="BT43" s="68"/>
      <c r="BU43" s="68"/>
      <c r="BV43" s="172">
        <f t="shared" si="39"/>
        <v>0</v>
      </c>
      <c r="BW43" s="71"/>
      <c r="BX43" s="68"/>
      <c r="BY43" s="68"/>
      <c r="BZ43" s="68"/>
      <c r="CA43" s="68"/>
      <c r="CB43" s="68"/>
      <c r="CC43" s="68"/>
      <c r="CD43" s="172">
        <f t="shared" si="40"/>
        <v>0</v>
      </c>
      <c r="CE43" s="71"/>
      <c r="CF43" s="68"/>
      <c r="CG43" s="68"/>
      <c r="CH43" s="68"/>
      <c r="CI43" s="68"/>
      <c r="CJ43" s="68"/>
      <c r="CK43" s="68"/>
      <c r="CL43" s="172">
        <f t="shared" si="41"/>
        <v>0</v>
      </c>
      <c r="CM43" s="71"/>
      <c r="CN43" s="68"/>
      <c r="CO43" s="68"/>
      <c r="CP43" s="68"/>
      <c r="CQ43" s="68"/>
      <c r="CR43" s="68"/>
      <c r="CS43" s="68"/>
      <c r="CT43" s="172">
        <f t="shared" si="42"/>
        <v>0</v>
      </c>
      <c r="CU43" s="187"/>
      <c r="CV43" s="68"/>
      <c r="CW43" s="68"/>
      <c r="CX43" s="68"/>
      <c r="CY43" s="68"/>
      <c r="CZ43" s="68"/>
      <c r="DA43" s="68"/>
      <c r="DB43" s="172">
        <f t="shared" si="43"/>
        <v>0</v>
      </c>
      <c r="DC43" s="71"/>
      <c r="DD43" s="68"/>
      <c r="DE43" s="68"/>
      <c r="DF43" s="68"/>
      <c r="DG43" s="68"/>
      <c r="DH43" s="68"/>
      <c r="DI43" s="68"/>
      <c r="DJ43" s="172">
        <f t="shared" si="44"/>
        <v>0</v>
      </c>
      <c r="DK43" s="71"/>
      <c r="DL43" s="68"/>
      <c r="DM43" s="68"/>
      <c r="DN43" s="68"/>
      <c r="DO43" s="68"/>
      <c r="DP43" s="68"/>
      <c r="DQ43" s="68"/>
      <c r="DR43" s="172">
        <f t="shared" si="45"/>
        <v>0</v>
      </c>
      <c r="DS43" s="71"/>
      <c r="DT43" s="68"/>
      <c r="DU43" s="68"/>
      <c r="DV43" s="68"/>
      <c r="DW43" s="68"/>
      <c r="DX43" s="68"/>
      <c r="DY43" s="68"/>
      <c r="DZ43" s="172">
        <f t="shared" si="46"/>
        <v>0</v>
      </c>
      <c r="EA43" s="71"/>
      <c r="EB43" s="68"/>
      <c r="EC43" s="68"/>
      <c r="ED43" s="68"/>
      <c r="EE43" s="68"/>
      <c r="EF43" s="68"/>
      <c r="EG43" s="68"/>
      <c r="EH43" s="172">
        <f t="shared" si="47"/>
        <v>0</v>
      </c>
    </row>
    <row r="44" spans="1:138" ht="15" x14ac:dyDescent="0.2">
      <c r="A44" s="164">
        <v>44346</v>
      </c>
      <c r="B44" s="69"/>
      <c r="C44" s="69"/>
      <c r="D44" s="69"/>
      <c r="E44" s="69"/>
      <c r="F44" s="69"/>
      <c r="G44" s="69"/>
      <c r="H44" s="69"/>
      <c r="I44" s="69"/>
      <c r="J44" s="50"/>
      <c r="K44" s="173"/>
      <c r="L44" s="69"/>
      <c r="M44" s="69"/>
      <c r="N44" s="69"/>
      <c r="O44" s="69"/>
      <c r="P44" s="69"/>
      <c r="Q44" s="69"/>
      <c r="R44" s="174"/>
      <c r="S44" s="85"/>
      <c r="T44" s="69"/>
      <c r="U44" s="69"/>
      <c r="V44" s="69"/>
      <c r="W44" s="69"/>
      <c r="X44" s="69"/>
      <c r="Y44" s="69"/>
      <c r="Z44" s="174"/>
      <c r="AA44" s="85"/>
      <c r="AB44" s="69"/>
      <c r="AC44" s="69"/>
      <c r="AD44" s="69"/>
      <c r="AE44" s="69"/>
      <c r="AF44" s="69"/>
      <c r="AG44" s="69"/>
      <c r="AH44" s="174"/>
      <c r="AI44" s="85"/>
      <c r="AJ44" s="69"/>
      <c r="AK44" s="69"/>
      <c r="AL44" s="69"/>
      <c r="AM44" s="69"/>
      <c r="AN44" s="69"/>
      <c r="AO44" s="69"/>
      <c r="AP44" s="174"/>
      <c r="AQ44" s="85"/>
      <c r="AR44" s="69"/>
      <c r="AS44" s="69"/>
      <c r="AT44" s="69"/>
      <c r="AU44" s="69"/>
      <c r="AV44" s="69"/>
      <c r="AW44" s="69"/>
      <c r="AX44" s="174"/>
      <c r="AY44" s="85"/>
      <c r="AZ44" s="69"/>
      <c r="BA44" s="69"/>
      <c r="BB44" s="69"/>
      <c r="BC44" s="69"/>
      <c r="BD44" s="69"/>
      <c r="BE44" s="69"/>
      <c r="BF44" s="174"/>
      <c r="BG44" s="85"/>
      <c r="BH44" s="69"/>
      <c r="BI44" s="69"/>
      <c r="BJ44" s="69"/>
      <c r="BK44" s="69"/>
      <c r="BL44" s="69"/>
      <c r="BM44" s="69"/>
      <c r="BN44" s="174"/>
      <c r="BO44" s="85"/>
      <c r="BP44" s="69"/>
      <c r="BQ44" s="69"/>
      <c r="BR44" s="69"/>
      <c r="BS44" s="69"/>
      <c r="BT44" s="69"/>
      <c r="BU44" s="69"/>
      <c r="BV44" s="174"/>
      <c r="BW44" s="85"/>
      <c r="BX44" s="69"/>
      <c r="BY44" s="69"/>
      <c r="BZ44" s="69"/>
      <c r="CA44" s="69"/>
      <c r="CB44" s="69"/>
      <c r="CC44" s="69"/>
      <c r="CD44" s="174"/>
      <c r="CE44" s="85"/>
      <c r="CF44" s="69"/>
      <c r="CG44" s="69"/>
      <c r="CH44" s="69"/>
      <c r="CI44" s="69"/>
      <c r="CJ44" s="69"/>
      <c r="CK44" s="69"/>
      <c r="CL44" s="174"/>
      <c r="CM44" s="85"/>
      <c r="CN44" s="69"/>
      <c r="CO44" s="69"/>
      <c r="CP44" s="69"/>
      <c r="CQ44" s="69"/>
      <c r="CR44" s="69"/>
      <c r="CS44" s="69"/>
      <c r="CT44" s="174"/>
      <c r="CU44" s="85"/>
      <c r="CV44" s="69"/>
      <c r="CW44" s="69"/>
      <c r="CX44" s="69"/>
      <c r="CY44" s="69"/>
      <c r="CZ44" s="69"/>
      <c r="DA44" s="69"/>
      <c r="DB44" s="174"/>
      <c r="DC44" s="85"/>
      <c r="DD44" s="69"/>
      <c r="DE44" s="69"/>
      <c r="DF44" s="69"/>
      <c r="DG44" s="69"/>
      <c r="DH44" s="69"/>
      <c r="DI44" s="69"/>
      <c r="DJ44" s="174"/>
      <c r="DK44" s="85"/>
      <c r="DL44" s="69"/>
      <c r="DM44" s="69"/>
      <c r="DN44" s="69"/>
      <c r="DO44" s="69"/>
      <c r="DP44" s="69"/>
      <c r="DQ44" s="69"/>
      <c r="DR44" s="174"/>
      <c r="DS44" s="85"/>
      <c r="DT44" s="69"/>
      <c r="DU44" s="69"/>
      <c r="DV44" s="69"/>
      <c r="DW44" s="69"/>
      <c r="DX44" s="69"/>
      <c r="DY44" s="69"/>
      <c r="DZ44" s="174"/>
      <c r="EA44" s="85"/>
      <c r="EB44" s="69"/>
      <c r="EC44" s="69"/>
      <c r="ED44" s="69"/>
      <c r="EE44" s="69"/>
      <c r="EF44" s="69"/>
      <c r="EG44" s="69"/>
      <c r="EH44" s="174"/>
    </row>
    <row r="45" spans="1:138" ht="15" x14ac:dyDescent="0.2">
      <c r="A45" s="165">
        <v>44347</v>
      </c>
      <c r="B45" s="70">
        <f t="shared" ref="B45:H50" si="48">K45+S45+AA45+AI45+AQ45+AY45+BG45+BO45+BW45+CE45+CM45+CU45+DC45+DK45+DS45+EA45</f>
        <v>0</v>
      </c>
      <c r="C45" s="150">
        <f t="shared" si="48"/>
        <v>0</v>
      </c>
      <c r="D45" s="70">
        <f t="shared" si="48"/>
        <v>0</v>
      </c>
      <c r="E45" s="150">
        <f t="shared" si="48"/>
        <v>0</v>
      </c>
      <c r="F45" s="70">
        <f t="shared" si="48"/>
        <v>0</v>
      </c>
      <c r="G45" s="150">
        <f t="shared" si="48"/>
        <v>0</v>
      </c>
      <c r="H45" s="70">
        <f t="shared" si="48"/>
        <v>0</v>
      </c>
      <c r="I45" s="163">
        <f t="shared" ref="I45:I50" si="49">SUM(B45:H45)</f>
        <v>0</v>
      </c>
      <c r="J45" s="50"/>
      <c r="K45" s="175"/>
      <c r="L45" s="70"/>
      <c r="M45" s="70"/>
      <c r="N45" s="70"/>
      <c r="O45" s="70"/>
      <c r="P45" s="70"/>
      <c r="Q45" s="70"/>
      <c r="R45" s="172">
        <f t="shared" ref="R45:R50" si="50">SUM(K45:Q45)</f>
        <v>0</v>
      </c>
      <c r="S45" s="187"/>
      <c r="T45" s="70"/>
      <c r="U45" s="70"/>
      <c r="V45" s="70"/>
      <c r="W45" s="70"/>
      <c r="X45" s="70"/>
      <c r="Y45" s="70"/>
      <c r="Z45" s="172">
        <f t="shared" ref="Z45:Z50" si="51">SUM(S45:Y45)</f>
        <v>0</v>
      </c>
      <c r="AA45" s="187"/>
      <c r="AB45" s="70"/>
      <c r="AC45" s="70"/>
      <c r="AD45" s="70"/>
      <c r="AE45" s="70"/>
      <c r="AF45" s="70"/>
      <c r="AG45" s="70"/>
      <c r="AH45" s="172">
        <f t="shared" ref="AH45:AH50" si="52">SUM(AA45:AG45)</f>
        <v>0</v>
      </c>
      <c r="AI45" s="187"/>
      <c r="AJ45" s="70"/>
      <c r="AK45" s="70"/>
      <c r="AL45" s="70"/>
      <c r="AM45" s="70"/>
      <c r="AN45" s="70"/>
      <c r="AO45" s="70"/>
      <c r="AP45" s="172">
        <f t="shared" ref="AP45:AP50" si="53">SUM(AI45:AO45)</f>
        <v>0</v>
      </c>
      <c r="AQ45" s="187"/>
      <c r="AR45" s="70"/>
      <c r="AS45" s="70"/>
      <c r="AT45" s="70"/>
      <c r="AU45" s="70"/>
      <c r="AV45" s="70"/>
      <c r="AW45" s="70"/>
      <c r="AX45" s="172">
        <f t="shared" ref="AX45:AX50" si="54">SUM(AQ45:AW45)</f>
        <v>0</v>
      </c>
      <c r="AY45" s="187"/>
      <c r="AZ45" s="70"/>
      <c r="BA45" s="70"/>
      <c r="BB45" s="70"/>
      <c r="BC45" s="70"/>
      <c r="BD45" s="70"/>
      <c r="BE45" s="70"/>
      <c r="BF45" s="172">
        <f t="shared" ref="BF45:BF50" si="55">SUM(AY45:BE45)</f>
        <v>0</v>
      </c>
      <c r="BG45" s="187"/>
      <c r="BH45" s="70"/>
      <c r="BI45" s="70"/>
      <c r="BJ45" s="70"/>
      <c r="BK45" s="70"/>
      <c r="BL45" s="70"/>
      <c r="BM45" s="70"/>
      <c r="BN45" s="172">
        <f t="shared" ref="BN45:BN50" si="56">SUM(BG45:BM45)</f>
        <v>0</v>
      </c>
      <c r="BO45" s="187"/>
      <c r="BP45" s="70"/>
      <c r="BQ45" s="70"/>
      <c r="BR45" s="70"/>
      <c r="BS45" s="70"/>
      <c r="BT45" s="70"/>
      <c r="BU45" s="70"/>
      <c r="BV45" s="172">
        <f t="shared" ref="BV45:BV50" si="57">SUM(BO45:BU45)</f>
        <v>0</v>
      </c>
      <c r="BW45" s="187"/>
      <c r="BX45" s="70"/>
      <c r="BY45" s="70"/>
      <c r="BZ45" s="70"/>
      <c r="CA45" s="70"/>
      <c r="CB45" s="70"/>
      <c r="CC45" s="70"/>
      <c r="CD45" s="172">
        <f t="shared" ref="CD45:CD50" si="58">SUM(BW45:CC45)</f>
        <v>0</v>
      </c>
      <c r="CE45" s="187"/>
      <c r="CF45" s="70"/>
      <c r="CG45" s="70"/>
      <c r="CH45" s="70"/>
      <c r="CI45" s="70"/>
      <c r="CJ45" s="70"/>
      <c r="CK45" s="70"/>
      <c r="CL45" s="172">
        <f t="shared" ref="CL45:CL50" si="59">SUM(CE45:CK45)</f>
        <v>0</v>
      </c>
      <c r="CM45" s="187"/>
      <c r="CN45" s="70"/>
      <c r="CO45" s="70"/>
      <c r="CP45" s="70"/>
      <c r="CQ45" s="70"/>
      <c r="CR45" s="70"/>
      <c r="CS45" s="70"/>
      <c r="CT45" s="172">
        <f t="shared" ref="CT45:CT50" si="60">SUM(CM45:CS45)</f>
        <v>0</v>
      </c>
      <c r="CU45" s="187"/>
      <c r="CV45" s="70"/>
      <c r="CW45" s="70"/>
      <c r="CX45" s="70"/>
      <c r="CY45" s="70"/>
      <c r="CZ45" s="70"/>
      <c r="DA45" s="70"/>
      <c r="DB45" s="172">
        <f t="shared" ref="DB45:DB50" si="61">SUM(CU45:DA45)</f>
        <v>0</v>
      </c>
      <c r="DC45" s="187"/>
      <c r="DD45" s="70"/>
      <c r="DE45" s="70"/>
      <c r="DF45" s="70"/>
      <c r="DG45" s="70"/>
      <c r="DH45" s="70"/>
      <c r="DI45" s="70"/>
      <c r="DJ45" s="172">
        <f t="shared" ref="DJ45:DJ50" si="62">SUM(DC45:DI45)</f>
        <v>0</v>
      </c>
      <c r="DK45" s="187"/>
      <c r="DL45" s="70"/>
      <c r="DM45" s="70"/>
      <c r="DN45" s="70"/>
      <c r="DO45" s="70"/>
      <c r="DP45" s="70"/>
      <c r="DQ45" s="70"/>
      <c r="DR45" s="172">
        <f t="shared" ref="DR45:DR50" si="63">SUM(DK45:DQ45)</f>
        <v>0</v>
      </c>
      <c r="DS45" s="187"/>
      <c r="DT45" s="70"/>
      <c r="DU45" s="70"/>
      <c r="DV45" s="70"/>
      <c r="DW45" s="70"/>
      <c r="DX45" s="70"/>
      <c r="DY45" s="70"/>
      <c r="DZ45" s="172">
        <f t="shared" ref="DZ45:DZ50" si="64">SUM(DS45:DY45)</f>
        <v>0</v>
      </c>
      <c r="EA45" s="187"/>
      <c r="EB45" s="70"/>
      <c r="EC45" s="70"/>
      <c r="ED45" s="70"/>
      <c r="EE45" s="70"/>
      <c r="EF45" s="70"/>
      <c r="EG45" s="70"/>
      <c r="EH45" s="172">
        <f t="shared" ref="EH45:EH50" si="65">SUM(EA45:EG45)</f>
        <v>0</v>
      </c>
    </row>
    <row r="46" spans="1:138" ht="15" x14ac:dyDescent="0.2">
      <c r="A46" s="162">
        <v>44348</v>
      </c>
      <c r="B46" s="70">
        <f t="shared" si="48"/>
        <v>0</v>
      </c>
      <c r="C46" s="150">
        <f t="shared" si="48"/>
        <v>0</v>
      </c>
      <c r="D46" s="70">
        <f t="shared" si="48"/>
        <v>0</v>
      </c>
      <c r="E46" s="150">
        <f t="shared" si="48"/>
        <v>0</v>
      </c>
      <c r="F46" s="70">
        <f t="shared" si="48"/>
        <v>0</v>
      </c>
      <c r="G46" s="150">
        <f t="shared" si="48"/>
        <v>0</v>
      </c>
      <c r="H46" s="70">
        <f t="shared" si="48"/>
        <v>0</v>
      </c>
      <c r="I46" s="163">
        <f t="shared" si="49"/>
        <v>0</v>
      </c>
      <c r="J46" s="50"/>
      <c r="K46" s="105"/>
      <c r="L46" s="68"/>
      <c r="M46" s="68"/>
      <c r="N46" s="68"/>
      <c r="O46" s="68"/>
      <c r="P46" s="68"/>
      <c r="Q46" s="68"/>
      <c r="R46" s="172">
        <f t="shared" si="50"/>
        <v>0</v>
      </c>
      <c r="S46" s="71"/>
      <c r="T46" s="68"/>
      <c r="U46" s="68"/>
      <c r="V46" s="68"/>
      <c r="W46" s="68"/>
      <c r="X46" s="68"/>
      <c r="Y46" s="68"/>
      <c r="Z46" s="172">
        <f t="shared" si="51"/>
        <v>0</v>
      </c>
      <c r="AA46" s="71"/>
      <c r="AB46" s="68"/>
      <c r="AC46" s="68"/>
      <c r="AD46" s="68"/>
      <c r="AE46" s="68"/>
      <c r="AF46" s="68"/>
      <c r="AG46" s="68"/>
      <c r="AH46" s="172">
        <f t="shared" si="52"/>
        <v>0</v>
      </c>
      <c r="AI46" s="71"/>
      <c r="AJ46" s="68"/>
      <c r="AK46" s="68"/>
      <c r="AL46" s="68"/>
      <c r="AM46" s="68"/>
      <c r="AN46" s="68"/>
      <c r="AO46" s="68"/>
      <c r="AP46" s="172">
        <f t="shared" si="53"/>
        <v>0</v>
      </c>
      <c r="AQ46" s="71"/>
      <c r="AR46" s="68"/>
      <c r="AS46" s="68"/>
      <c r="AT46" s="68"/>
      <c r="AU46" s="68"/>
      <c r="AV46" s="68"/>
      <c r="AW46" s="68"/>
      <c r="AX46" s="172">
        <f t="shared" si="54"/>
        <v>0</v>
      </c>
      <c r="AY46" s="71"/>
      <c r="AZ46" s="68"/>
      <c r="BA46" s="68"/>
      <c r="BB46" s="68"/>
      <c r="BC46" s="68"/>
      <c r="BD46" s="68"/>
      <c r="BE46" s="68"/>
      <c r="BF46" s="172">
        <f t="shared" si="55"/>
        <v>0</v>
      </c>
      <c r="BG46" s="71"/>
      <c r="BH46" s="68"/>
      <c r="BI46" s="68"/>
      <c r="BJ46" s="68"/>
      <c r="BK46" s="68"/>
      <c r="BL46" s="68"/>
      <c r="BM46" s="68"/>
      <c r="BN46" s="172">
        <f t="shared" si="56"/>
        <v>0</v>
      </c>
      <c r="BO46" s="71"/>
      <c r="BP46" s="68"/>
      <c r="BQ46" s="68"/>
      <c r="BR46" s="68"/>
      <c r="BS46" s="68"/>
      <c r="BT46" s="68"/>
      <c r="BU46" s="68"/>
      <c r="BV46" s="172">
        <f t="shared" si="57"/>
        <v>0</v>
      </c>
      <c r="BW46" s="71"/>
      <c r="BX46" s="68"/>
      <c r="BY46" s="68"/>
      <c r="BZ46" s="68"/>
      <c r="CA46" s="68"/>
      <c r="CB46" s="68"/>
      <c r="CC46" s="68"/>
      <c r="CD46" s="172">
        <f t="shared" si="58"/>
        <v>0</v>
      </c>
      <c r="CE46" s="71"/>
      <c r="CF46" s="68"/>
      <c r="CG46" s="68"/>
      <c r="CH46" s="68"/>
      <c r="CI46" s="68"/>
      <c r="CJ46" s="68"/>
      <c r="CK46" s="68"/>
      <c r="CL46" s="172">
        <f t="shared" si="59"/>
        <v>0</v>
      </c>
      <c r="CM46" s="71"/>
      <c r="CN46" s="68"/>
      <c r="CO46" s="68"/>
      <c r="CP46" s="68"/>
      <c r="CQ46" s="68"/>
      <c r="CR46" s="68"/>
      <c r="CS46" s="68"/>
      <c r="CT46" s="172">
        <f t="shared" si="60"/>
        <v>0</v>
      </c>
      <c r="CU46" s="71"/>
      <c r="CV46" s="68"/>
      <c r="CW46" s="68"/>
      <c r="CX46" s="68"/>
      <c r="CY46" s="68"/>
      <c r="CZ46" s="68"/>
      <c r="DA46" s="68"/>
      <c r="DB46" s="172">
        <f t="shared" si="61"/>
        <v>0</v>
      </c>
      <c r="DC46" s="71"/>
      <c r="DD46" s="68"/>
      <c r="DE46" s="68"/>
      <c r="DF46" s="68"/>
      <c r="DG46" s="68"/>
      <c r="DH46" s="68"/>
      <c r="DI46" s="68"/>
      <c r="DJ46" s="172">
        <f t="shared" si="62"/>
        <v>0</v>
      </c>
      <c r="DK46" s="71"/>
      <c r="DL46" s="68"/>
      <c r="DM46" s="68"/>
      <c r="DN46" s="68"/>
      <c r="DO46" s="68"/>
      <c r="DP46" s="68"/>
      <c r="DQ46" s="68"/>
      <c r="DR46" s="172">
        <f t="shared" si="63"/>
        <v>0</v>
      </c>
      <c r="DS46" s="71"/>
      <c r="DT46" s="68"/>
      <c r="DU46" s="68"/>
      <c r="DV46" s="68"/>
      <c r="DW46" s="68"/>
      <c r="DX46" s="68"/>
      <c r="DY46" s="68"/>
      <c r="DZ46" s="172">
        <f t="shared" si="64"/>
        <v>0</v>
      </c>
      <c r="EA46" s="71"/>
      <c r="EB46" s="68"/>
      <c r="EC46" s="68"/>
      <c r="ED46" s="68"/>
      <c r="EE46" s="68"/>
      <c r="EF46" s="68"/>
      <c r="EG46" s="68"/>
      <c r="EH46" s="172">
        <f t="shared" si="65"/>
        <v>0</v>
      </c>
    </row>
    <row r="47" spans="1:138" ht="15" x14ac:dyDescent="0.2">
      <c r="A47" s="162">
        <v>44349</v>
      </c>
      <c r="B47" s="70">
        <f t="shared" si="48"/>
        <v>0</v>
      </c>
      <c r="C47" s="150">
        <f t="shared" si="48"/>
        <v>0</v>
      </c>
      <c r="D47" s="70">
        <f t="shared" si="48"/>
        <v>0</v>
      </c>
      <c r="E47" s="150">
        <f t="shared" si="48"/>
        <v>0</v>
      </c>
      <c r="F47" s="70">
        <f t="shared" si="48"/>
        <v>0</v>
      </c>
      <c r="G47" s="150">
        <f t="shared" si="48"/>
        <v>0</v>
      </c>
      <c r="H47" s="70">
        <f t="shared" si="48"/>
        <v>0</v>
      </c>
      <c r="I47" s="163">
        <f t="shared" si="49"/>
        <v>0</v>
      </c>
      <c r="J47" s="50"/>
      <c r="K47" s="105"/>
      <c r="L47" s="68"/>
      <c r="M47" s="68"/>
      <c r="N47" s="68"/>
      <c r="O47" s="68"/>
      <c r="P47" s="68"/>
      <c r="Q47" s="68"/>
      <c r="R47" s="172">
        <f t="shared" si="50"/>
        <v>0</v>
      </c>
      <c r="S47" s="71"/>
      <c r="T47" s="68"/>
      <c r="U47" s="68"/>
      <c r="V47" s="68"/>
      <c r="W47" s="68"/>
      <c r="X47" s="68"/>
      <c r="Y47" s="68"/>
      <c r="Z47" s="172">
        <f t="shared" si="51"/>
        <v>0</v>
      </c>
      <c r="AA47" s="71"/>
      <c r="AB47" s="68"/>
      <c r="AC47" s="68"/>
      <c r="AD47" s="68"/>
      <c r="AE47" s="68"/>
      <c r="AF47" s="68"/>
      <c r="AG47" s="68"/>
      <c r="AH47" s="172">
        <f t="shared" si="52"/>
        <v>0</v>
      </c>
      <c r="AI47" s="71"/>
      <c r="AJ47" s="68"/>
      <c r="AK47" s="68"/>
      <c r="AL47" s="68"/>
      <c r="AM47" s="68"/>
      <c r="AN47" s="68"/>
      <c r="AO47" s="68"/>
      <c r="AP47" s="172">
        <f t="shared" si="53"/>
        <v>0</v>
      </c>
      <c r="AQ47" s="71"/>
      <c r="AR47" s="68"/>
      <c r="AS47" s="68"/>
      <c r="AT47" s="68"/>
      <c r="AU47" s="68"/>
      <c r="AV47" s="68"/>
      <c r="AW47" s="68"/>
      <c r="AX47" s="172">
        <f t="shared" si="54"/>
        <v>0</v>
      </c>
      <c r="AY47" s="71"/>
      <c r="AZ47" s="68"/>
      <c r="BA47" s="68"/>
      <c r="BB47" s="68"/>
      <c r="BC47" s="68"/>
      <c r="BD47" s="68"/>
      <c r="BE47" s="68"/>
      <c r="BF47" s="172">
        <f t="shared" si="55"/>
        <v>0</v>
      </c>
      <c r="BG47" s="71"/>
      <c r="BH47" s="68"/>
      <c r="BI47" s="68"/>
      <c r="BJ47" s="68"/>
      <c r="BK47" s="68"/>
      <c r="BL47" s="68"/>
      <c r="BM47" s="68"/>
      <c r="BN47" s="172">
        <f t="shared" si="56"/>
        <v>0</v>
      </c>
      <c r="BO47" s="71"/>
      <c r="BP47" s="68"/>
      <c r="BQ47" s="68"/>
      <c r="BR47" s="68"/>
      <c r="BS47" s="68"/>
      <c r="BT47" s="68"/>
      <c r="BU47" s="68"/>
      <c r="BV47" s="172">
        <f t="shared" si="57"/>
        <v>0</v>
      </c>
      <c r="BW47" s="71"/>
      <c r="BX47" s="68"/>
      <c r="BY47" s="68"/>
      <c r="BZ47" s="68"/>
      <c r="CA47" s="68"/>
      <c r="CB47" s="68"/>
      <c r="CC47" s="68"/>
      <c r="CD47" s="172">
        <f t="shared" si="58"/>
        <v>0</v>
      </c>
      <c r="CE47" s="71"/>
      <c r="CF47" s="68"/>
      <c r="CG47" s="68"/>
      <c r="CH47" s="68"/>
      <c r="CI47" s="68"/>
      <c r="CJ47" s="68"/>
      <c r="CK47" s="68"/>
      <c r="CL47" s="172">
        <f t="shared" si="59"/>
        <v>0</v>
      </c>
      <c r="CM47" s="71"/>
      <c r="CN47" s="68"/>
      <c r="CO47" s="68"/>
      <c r="CP47" s="68"/>
      <c r="CQ47" s="68"/>
      <c r="CR47" s="68"/>
      <c r="CS47" s="68"/>
      <c r="CT47" s="172">
        <f t="shared" si="60"/>
        <v>0</v>
      </c>
      <c r="CU47" s="71"/>
      <c r="CV47" s="68"/>
      <c r="CW47" s="68"/>
      <c r="CX47" s="68"/>
      <c r="CY47" s="68"/>
      <c r="CZ47" s="68"/>
      <c r="DA47" s="68"/>
      <c r="DB47" s="172">
        <f t="shared" si="61"/>
        <v>0</v>
      </c>
      <c r="DC47" s="71"/>
      <c r="DD47" s="68"/>
      <c r="DE47" s="68"/>
      <c r="DF47" s="68"/>
      <c r="DG47" s="68"/>
      <c r="DH47" s="68"/>
      <c r="DI47" s="68"/>
      <c r="DJ47" s="172">
        <f t="shared" si="62"/>
        <v>0</v>
      </c>
      <c r="DK47" s="71"/>
      <c r="DL47" s="68"/>
      <c r="DM47" s="68"/>
      <c r="DN47" s="68"/>
      <c r="DO47" s="68"/>
      <c r="DP47" s="68"/>
      <c r="DQ47" s="68"/>
      <c r="DR47" s="172">
        <f t="shared" si="63"/>
        <v>0</v>
      </c>
      <c r="DS47" s="71"/>
      <c r="DT47" s="68"/>
      <c r="DU47" s="68"/>
      <c r="DV47" s="68"/>
      <c r="DW47" s="68"/>
      <c r="DX47" s="68"/>
      <c r="DY47" s="68"/>
      <c r="DZ47" s="172">
        <f t="shared" si="64"/>
        <v>0</v>
      </c>
      <c r="EA47" s="71"/>
      <c r="EB47" s="68"/>
      <c r="EC47" s="68"/>
      <c r="ED47" s="68"/>
      <c r="EE47" s="68"/>
      <c r="EF47" s="68"/>
      <c r="EG47" s="68"/>
      <c r="EH47" s="172">
        <f t="shared" si="65"/>
        <v>0</v>
      </c>
    </row>
    <row r="48" spans="1:138" ht="15" x14ac:dyDescent="0.2">
      <c r="A48" s="162">
        <v>44350</v>
      </c>
      <c r="B48" s="70">
        <f t="shared" si="48"/>
        <v>0</v>
      </c>
      <c r="C48" s="150">
        <f t="shared" si="48"/>
        <v>0</v>
      </c>
      <c r="D48" s="70">
        <f t="shared" si="48"/>
        <v>0</v>
      </c>
      <c r="E48" s="150">
        <f t="shared" si="48"/>
        <v>0</v>
      </c>
      <c r="F48" s="70">
        <f t="shared" si="48"/>
        <v>0</v>
      </c>
      <c r="G48" s="150">
        <f t="shared" si="48"/>
        <v>0</v>
      </c>
      <c r="H48" s="70">
        <f t="shared" si="48"/>
        <v>0</v>
      </c>
      <c r="I48" s="163">
        <f t="shared" si="49"/>
        <v>0</v>
      </c>
      <c r="J48" s="50"/>
      <c r="K48" s="105"/>
      <c r="L48" s="68"/>
      <c r="M48" s="68"/>
      <c r="N48" s="68"/>
      <c r="O48" s="68"/>
      <c r="P48" s="68"/>
      <c r="Q48" s="68"/>
      <c r="R48" s="172">
        <f t="shared" si="50"/>
        <v>0</v>
      </c>
      <c r="S48" s="71"/>
      <c r="T48" s="68"/>
      <c r="U48" s="68"/>
      <c r="V48" s="68"/>
      <c r="W48" s="68"/>
      <c r="X48" s="68"/>
      <c r="Y48" s="68"/>
      <c r="Z48" s="172">
        <f t="shared" si="51"/>
        <v>0</v>
      </c>
      <c r="AA48" s="71"/>
      <c r="AB48" s="68"/>
      <c r="AC48" s="68"/>
      <c r="AD48" s="68"/>
      <c r="AE48" s="68"/>
      <c r="AF48" s="68"/>
      <c r="AG48" s="68"/>
      <c r="AH48" s="172">
        <f t="shared" si="52"/>
        <v>0</v>
      </c>
      <c r="AI48" s="71"/>
      <c r="AJ48" s="68"/>
      <c r="AK48" s="68"/>
      <c r="AL48" s="68"/>
      <c r="AM48" s="68"/>
      <c r="AN48" s="68"/>
      <c r="AO48" s="68"/>
      <c r="AP48" s="172">
        <f t="shared" si="53"/>
        <v>0</v>
      </c>
      <c r="AQ48" s="71"/>
      <c r="AR48" s="68"/>
      <c r="AS48" s="68"/>
      <c r="AT48" s="68"/>
      <c r="AU48" s="68"/>
      <c r="AV48" s="68"/>
      <c r="AW48" s="68"/>
      <c r="AX48" s="172">
        <f t="shared" si="54"/>
        <v>0</v>
      </c>
      <c r="AY48" s="71"/>
      <c r="AZ48" s="68"/>
      <c r="BA48" s="68"/>
      <c r="BB48" s="68"/>
      <c r="BC48" s="68"/>
      <c r="BD48" s="68"/>
      <c r="BE48" s="68"/>
      <c r="BF48" s="172">
        <f t="shared" si="55"/>
        <v>0</v>
      </c>
      <c r="BG48" s="71"/>
      <c r="BH48" s="68"/>
      <c r="BI48" s="68"/>
      <c r="BJ48" s="68"/>
      <c r="BK48" s="68"/>
      <c r="BL48" s="68"/>
      <c r="BM48" s="68"/>
      <c r="BN48" s="172">
        <f t="shared" si="56"/>
        <v>0</v>
      </c>
      <c r="BO48" s="71"/>
      <c r="BP48" s="68"/>
      <c r="BQ48" s="68"/>
      <c r="BR48" s="68"/>
      <c r="BS48" s="68"/>
      <c r="BT48" s="68"/>
      <c r="BU48" s="68"/>
      <c r="BV48" s="172">
        <f t="shared" si="57"/>
        <v>0</v>
      </c>
      <c r="BW48" s="71"/>
      <c r="BX48" s="68"/>
      <c r="BY48" s="68"/>
      <c r="BZ48" s="68"/>
      <c r="CA48" s="68"/>
      <c r="CB48" s="68"/>
      <c r="CC48" s="68"/>
      <c r="CD48" s="172">
        <f t="shared" si="58"/>
        <v>0</v>
      </c>
      <c r="CE48" s="71"/>
      <c r="CF48" s="68"/>
      <c r="CG48" s="68"/>
      <c r="CH48" s="68"/>
      <c r="CI48" s="68"/>
      <c r="CJ48" s="68"/>
      <c r="CK48" s="68"/>
      <c r="CL48" s="172">
        <f t="shared" si="59"/>
        <v>0</v>
      </c>
      <c r="CM48" s="71"/>
      <c r="CN48" s="68"/>
      <c r="CO48" s="68"/>
      <c r="CP48" s="68"/>
      <c r="CQ48" s="68"/>
      <c r="CR48" s="68"/>
      <c r="CS48" s="68"/>
      <c r="CT48" s="172">
        <f t="shared" si="60"/>
        <v>0</v>
      </c>
      <c r="CU48" s="71"/>
      <c r="CV48" s="68"/>
      <c r="CW48" s="68"/>
      <c r="CX48" s="68"/>
      <c r="CY48" s="68"/>
      <c r="CZ48" s="68"/>
      <c r="DA48" s="68"/>
      <c r="DB48" s="172">
        <f t="shared" si="61"/>
        <v>0</v>
      </c>
      <c r="DC48" s="71"/>
      <c r="DD48" s="68"/>
      <c r="DE48" s="68"/>
      <c r="DF48" s="68"/>
      <c r="DG48" s="68"/>
      <c r="DH48" s="68"/>
      <c r="DI48" s="68"/>
      <c r="DJ48" s="172">
        <f t="shared" si="62"/>
        <v>0</v>
      </c>
      <c r="DK48" s="71"/>
      <c r="DL48" s="68"/>
      <c r="DM48" s="68"/>
      <c r="DN48" s="68"/>
      <c r="DO48" s="68"/>
      <c r="DP48" s="68"/>
      <c r="DQ48" s="68"/>
      <c r="DR48" s="172">
        <f t="shared" si="63"/>
        <v>0</v>
      </c>
      <c r="DS48" s="71"/>
      <c r="DT48" s="68"/>
      <c r="DU48" s="68"/>
      <c r="DV48" s="68"/>
      <c r="DW48" s="68"/>
      <c r="DX48" s="68"/>
      <c r="DY48" s="68"/>
      <c r="DZ48" s="172">
        <f t="shared" si="64"/>
        <v>0</v>
      </c>
      <c r="EA48" s="71"/>
      <c r="EB48" s="68"/>
      <c r="EC48" s="68"/>
      <c r="ED48" s="68"/>
      <c r="EE48" s="68"/>
      <c r="EF48" s="68"/>
      <c r="EG48" s="68"/>
      <c r="EH48" s="172">
        <f t="shared" si="65"/>
        <v>0</v>
      </c>
    </row>
    <row r="49" spans="1:138" ht="15" x14ac:dyDescent="0.2">
      <c r="A49" s="162">
        <v>44351</v>
      </c>
      <c r="B49" s="70">
        <f t="shared" si="48"/>
        <v>0</v>
      </c>
      <c r="C49" s="150">
        <f t="shared" si="48"/>
        <v>0</v>
      </c>
      <c r="D49" s="70">
        <f t="shared" si="48"/>
        <v>0</v>
      </c>
      <c r="E49" s="150">
        <f t="shared" si="48"/>
        <v>0</v>
      </c>
      <c r="F49" s="70">
        <f t="shared" si="48"/>
        <v>0</v>
      </c>
      <c r="G49" s="150">
        <f t="shared" si="48"/>
        <v>0</v>
      </c>
      <c r="H49" s="70">
        <f t="shared" si="48"/>
        <v>0</v>
      </c>
      <c r="I49" s="163">
        <f t="shared" si="49"/>
        <v>0</v>
      </c>
      <c r="J49" s="50"/>
      <c r="K49" s="105"/>
      <c r="L49" s="68"/>
      <c r="M49" s="68"/>
      <c r="N49" s="68"/>
      <c r="O49" s="68"/>
      <c r="P49" s="68"/>
      <c r="Q49" s="68"/>
      <c r="R49" s="172">
        <f t="shared" si="50"/>
        <v>0</v>
      </c>
      <c r="S49" s="71"/>
      <c r="T49" s="68"/>
      <c r="U49" s="68"/>
      <c r="V49" s="68"/>
      <c r="W49" s="68"/>
      <c r="X49" s="68"/>
      <c r="Y49" s="68"/>
      <c r="Z49" s="172">
        <f t="shared" si="51"/>
        <v>0</v>
      </c>
      <c r="AA49" s="71"/>
      <c r="AB49" s="68"/>
      <c r="AC49" s="68"/>
      <c r="AD49" s="68"/>
      <c r="AE49" s="68"/>
      <c r="AF49" s="68"/>
      <c r="AG49" s="68"/>
      <c r="AH49" s="172">
        <f t="shared" si="52"/>
        <v>0</v>
      </c>
      <c r="AI49" s="71"/>
      <c r="AJ49" s="68"/>
      <c r="AK49" s="68"/>
      <c r="AL49" s="68"/>
      <c r="AM49" s="68"/>
      <c r="AN49" s="68"/>
      <c r="AO49" s="68"/>
      <c r="AP49" s="172">
        <f t="shared" si="53"/>
        <v>0</v>
      </c>
      <c r="AQ49" s="71"/>
      <c r="AR49" s="68"/>
      <c r="AS49" s="68"/>
      <c r="AT49" s="68"/>
      <c r="AU49" s="68"/>
      <c r="AV49" s="68"/>
      <c r="AW49" s="68"/>
      <c r="AX49" s="172">
        <f t="shared" si="54"/>
        <v>0</v>
      </c>
      <c r="AY49" s="71"/>
      <c r="AZ49" s="68"/>
      <c r="BA49" s="68"/>
      <c r="BB49" s="68"/>
      <c r="BC49" s="68"/>
      <c r="BD49" s="68"/>
      <c r="BE49" s="68"/>
      <c r="BF49" s="172">
        <f t="shared" si="55"/>
        <v>0</v>
      </c>
      <c r="BG49" s="71"/>
      <c r="BH49" s="68"/>
      <c r="BI49" s="68"/>
      <c r="BJ49" s="68"/>
      <c r="BK49" s="68"/>
      <c r="BL49" s="68"/>
      <c r="BM49" s="68"/>
      <c r="BN49" s="172">
        <f t="shared" si="56"/>
        <v>0</v>
      </c>
      <c r="BO49" s="71"/>
      <c r="BP49" s="68"/>
      <c r="BQ49" s="68"/>
      <c r="BR49" s="68"/>
      <c r="BS49" s="68"/>
      <c r="BT49" s="68"/>
      <c r="BU49" s="68"/>
      <c r="BV49" s="172">
        <f t="shared" si="57"/>
        <v>0</v>
      </c>
      <c r="BW49" s="71"/>
      <c r="BX49" s="68"/>
      <c r="BY49" s="68"/>
      <c r="BZ49" s="68"/>
      <c r="CA49" s="68"/>
      <c r="CB49" s="68"/>
      <c r="CC49" s="68"/>
      <c r="CD49" s="172">
        <f t="shared" si="58"/>
        <v>0</v>
      </c>
      <c r="CE49" s="71"/>
      <c r="CF49" s="68"/>
      <c r="CG49" s="68"/>
      <c r="CH49" s="68"/>
      <c r="CI49" s="68"/>
      <c r="CJ49" s="68"/>
      <c r="CK49" s="68"/>
      <c r="CL49" s="172">
        <f t="shared" si="59"/>
        <v>0</v>
      </c>
      <c r="CM49" s="71"/>
      <c r="CN49" s="68"/>
      <c r="CO49" s="68"/>
      <c r="CP49" s="68"/>
      <c r="CQ49" s="68"/>
      <c r="CR49" s="68"/>
      <c r="CS49" s="68"/>
      <c r="CT49" s="172">
        <f t="shared" si="60"/>
        <v>0</v>
      </c>
      <c r="CU49" s="71"/>
      <c r="CV49" s="68"/>
      <c r="CW49" s="68"/>
      <c r="CX49" s="68"/>
      <c r="CY49" s="68"/>
      <c r="CZ49" s="68"/>
      <c r="DA49" s="68"/>
      <c r="DB49" s="172">
        <f t="shared" si="61"/>
        <v>0</v>
      </c>
      <c r="DC49" s="71"/>
      <c r="DD49" s="68"/>
      <c r="DE49" s="68"/>
      <c r="DF49" s="68"/>
      <c r="DG49" s="68"/>
      <c r="DH49" s="68"/>
      <c r="DI49" s="68"/>
      <c r="DJ49" s="172">
        <f t="shared" si="62"/>
        <v>0</v>
      </c>
      <c r="DK49" s="71"/>
      <c r="DL49" s="68"/>
      <c r="DM49" s="68"/>
      <c r="DN49" s="68"/>
      <c r="DO49" s="68"/>
      <c r="DP49" s="68"/>
      <c r="DQ49" s="68"/>
      <c r="DR49" s="172">
        <f t="shared" si="63"/>
        <v>0</v>
      </c>
      <c r="DS49" s="71"/>
      <c r="DT49" s="68"/>
      <c r="DU49" s="68"/>
      <c r="DV49" s="68"/>
      <c r="DW49" s="68"/>
      <c r="DX49" s="68"/>
      <c r="DY49" s="68"/>
      <c r="DZ49" s="172">
        <f t="shared" si="64"/>
        <v>0</v>
      </c>
      <c r="EA49" s="71"/>
      <c r="EB49" s="68"/>
      <c r="EC49" s="68"/>
      <c r="ED49" s="68"/>
      <c r="EE49" s="68"/>
      <c r="EF49" s="68"/>
      <c r="EG49" s="68"/>
      <c r="EH49" s="172">
        <f t="shared" si="65"/>
        <v>0</v>
      </c>
    </row>
    <row r="50" spans="1:138" ht="15" x14ac:dyDescent="0.2">
      <c r="A50" s="191">
        <v>44352</v>
      </c>
      <c r="B50" s="192">
        <f t="shared" si="48"/>
        <v>0</v>
      </c>
      <c r="C50" s="193">
        <f t="shared" si="48"/>
        <v>0</v>
      </c>
      <c r="D50" s="192">
        <f t="shared" si="48"/>
        <v>0</v>
      </c>
      <c r="E50" s="193">
        <f t="shared" si="48"/>
        <v>0</v>
      </c>
      <c r="F50" s="192">
        <f t="shared" si="48"/>
        <v>0</v>
      </c>
      <c r="G50" s="193">
        <f t="shared" si="48"/>
        <v>0</v>
      </c>
      <c r="H50" s="192">
        <f t="shared" si="48"/>
        <v>0</v>
      </c>
      <c r="I50" s="177">
        <f t="shared" si="49"/>
        <v>0</v>
      </c>
      <c r="J50" s="50"/>
      <c r="K50" s="121"/>
      <c r="L50" s="176"/>
      <c r="M50" s="176"/>
      <c r="N50" s="176"/>
      <c r="O50" s="176"/>
      <c r="P50" s="176"/>
      <c r="Q50" s="176"/>
      <c r="R50" s="178">
        <f t="shared" si="50"/>
        <v>0</v>
      </c>
      <c r="S50" s="188"/>
      <c r="T50" s="176"/>
      <c r="U50" s="176"/>
      <c r="V50" s="176"/>
      <c r="W50" s="176"/>
      <c r="X50" s="176"/>
      <c r="Y50" s="176"/>
      <c r="Z50" s="178">
        <f t="shared" si="51"/>
        <v>0</v>
      </c>
      <c r="AA50" s="188"/>
      <c r="AB50" s="176"/>
      <c r="AC50" s="176"/>
      <c r="AD50" s="176"/>
      <c r="AE50" s="176"/>
      <c r="AF50" s="176"/>
      <c r="AG50" s="176"/>
      <c r="AH50" s="178">
        <f t="shared" si="52"/>
        <v>0</v>
      </c>
      <c r="AI50" s="188"/>
      <c r="AJ50" s="176"/>
      <c r="AK50" s="176"/>
      <c r="AL50" s="176"/>
      <c r="AM50" s="176"/>
      <c r="AN50" s="176"/>
      <c r="AO50" s="176"/>
      <c r="AP50" s="178">
        <f t="shared" si="53"/>
        <v>0</v>
      </c>
      <c r="AQ50" s="188"/>
      <c r="AR50" s="176"/>
      <c r="AS50" s="176"/>
      <c r="AT50" s="176"/>
      <c r="AU50" s="176"/>
      <c r="AV50" s="176"/>
      <c r="AW50" s="176"/>
      <c r="AX50" s="178">
        <f t="shared" si="54"/>
        <v>0</v>
      </c>
      <c r="AY50" s="188"/>
      <c r="AZ50" s="176"/>
      <c r="BA50" s="176"/>
      <c r="BB50" s="176"/>
      <c r="BC50" s="176"/>
      <c r="BD50" s="176"/>
      <c r="BE50" s="176"/>
      <c r="BF50" s="178">
        <f t="shared" si="55"/>
        <v>0</v>
      </c>
      <c r="BG50" s="188"/>
      <c r="BH50" s="176"/>
      <c r="BI50" s="176"/>
      <c r="BJ50" s="176"/>
      <c r="BK50" s="176"/>
      <c r="BL50" s="176"/>
      <c r="BM50" s="176"/>
      <c r="BN50" s="178">
        <f t="shared" si="56"/>
        <v>0</v>
      </c>
      <c r="BO50" s="188"/>
      <c r="BP50" s="176"/>
      <c r="BQ50" s="176"/>
      <c r="BR50" s="176"/>
      <c r="BS50" s="176"/>
      <c r="BT50" s="176"/>
      <c r="BU50" s="176"/>
      <c r="BV50" s="178">
        <f t="shared" si="57"/>
        <v>0</v>
      </c>
      <c r="BW50" s="188"/>
      <c r="BX50" s="176"/>
      <c r="BY50" s="176"/>
      <c r="BZ50" s="176"/>
      <c r="CA50" s="176"/>
      <c r="CB50" s="176"/>
      <c r="CC50" s="176"/>
      <c r="CD50" s="178">
        <f t="shared" si="58"/>
        <v>0</v>
      </c>
      <c r="CE50" s="188"/>
      <c r="CF50" s="176"/>
      <c r="CG50" s="176"/>
      <c r="CH50" s="176"/>
      <c r="CI50" s="176"/>
      <c r="CJ50" s="176"/>
      <c r="CK50" s="176"/>
      <c r="CL50" s="178">
        <f t="shared" si="59"/>
        <v>0</v>
      </c>
      <c r="CM50" s="188"/>
      <c r="CN50" s="176"/>
      <c r="CO50" s="176"/>
      <c r="CP50" s="176"/>
      <c r="CQ50" s="176"/>
      <c r="CR50" s="176"/>
      <c r="CS50" s="176"/>
      <c r="CT50" s="178">
        <f t="shared" si="60"/>
        <v>0</v>
      </c>
      <c r="CU50" s="188"/>
      <c r="CV50" s="176"/>
      <c r="CW50" s="176"/>
      <c r="CX50" s="176"/>
      <c r="CY50" s="176"/>
      <c r="CZ50" s="176"/>
      <c r="DA50" s="176"/>
      <c r="DB50" s="178">
        <f t="shared" si="61"/>
        <v>0</v>
      </c>
      <c r="DC50" s="188"/>
      <c r="DD50" s="176"/>
      <c r="DE50" s="176"/>
      <c r="DF50" s="176"/>
      <c r="DG50" s="176"/>
      <c r="DH50" s="176"/>
      <c r="DI50" s="176"/>
      <c r="DJ50" s="178">
        <f t="shared" si="62"/>
        <v>0</v>
      </c>
      <c r="DK50" s="188"/>
      <c r="DL50" s="176"/>
      <c r="DM50" s="176"/>
      <c r="DN50" s="176"/>
      <c r="DO50" s="176"/>
      <c r="DP50" s="176"/>
      <c r="DQ50" s="176"/>
      <c r="DR50" s="178">
        <f t="shared" si="63"/>
        <v>0</v>
      </c>
      <c r="DS50" s="188"/>
      <c r="DT50" s="176"/>
      <c r="DU50" s="176"/>
      <c r="DV50" s="176"/>
      <c r="DW50" s="176"/>
      <c r="DX50" s="176"/>
      <c r="DY50" s="176"/>
      <c r="DZ50" s="178">
        <f t="shared" si="64"/>
        <v>0</v>
      </c>
      <c r="EA50" s="188"/>
      <c r="EB50" s="176"/>
      <c r="EC50" s="176"/>
      <c r="ED50" s="176"/>
      <c r="EE50" s="176"/>
      <c r="EF50" s="176"/>
      <c r="EG50" s="176"/>
      <c r="EH50" s="178">
        <f t="shared" si="65"/>
        <v>0</v>
      </c>
    </row>
  </sheetData>
  <mergeCells count="17">
    <mergeCell ref="CM3:CT3"/>
    <mergeCell ref="B3:I3"/>
    <mergeCell ref="K3:R3"/>
    <mergeCell ref="S3:Z3"/>
    <mergeCell ref="AA3:AH3"/>
    <mergeCell ref="AI3:AP3"/>
    <mergeCell ref="AQ3:AX3"/>
    <mergeCell ref="AY3:BF3"/>
    <mergeCell ref="BG3:BN3"/>
    <mergeCell ref="BO3:BV3"/>
    <mergeCell ref="BW3:CD3"/>
    <mergeCell ref="CE3:CL3"/>
    <mergeCell ref="CU3:DB3"/>
    <mergeCell ref="DC3:DJ3"/>
    <mergeCell ref="DK3:DR3"/>
    <mergeCell ref="DS3:DZ3"/>
    <mergeCell ref="EA3:EH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AAC1C-A495-4CC2-8B0E-960CD81CD7BB}">
  <dimension ref="A1:G48"/>
  <sheetViews>
    <sheetView showGridLines="0" workbookViewId="0">
      <pane ySplit="4" topLeftCell="A5" activePane="bottomLeft" state="frozen"/>
      <selection pane="bottomLeft" activeCell="G5" sqref="G5"/>
    </sheetView>
  </sheetViews>
  <sheetFormatPr defaultRowHeight="14.25" x14ac:dyDescent="0.2"/>
  <cols>
    <col min="1" max="1" width="9.25" customWidth="1"/>
    <col min="2" max="2" width="13.125" style="1" customWidth="1"/>
    <col min="3" max="3" width="13.5" style="1" customWidth="1"/>
    <col min="4" max="4" width="8.25" style="1" customWidth="1"/>
    <col min="5" max="5" width="7" customWidth="1"/>
    <col min="6" max="6" width="12.375" customWidth="1"/>
    <col min="7" max="7" width="8.375" customWidth="1"/>
  </cols>
  <sheetData>
    <row r="1" spans="1:7" s="82" customFormat="1" ht="57" customHeight="1" x14ac:dyDescent="0.2">
      <c r="A1" s="598" t="s">
        <v>58</v>
      </c>
      <c r="B1" s="598"/>
      <c r="C1" s="598"/>
      <c r="D1" s="598"/>
      <c r="E1" s="598"/>
      <c r="F1" s="598"/>
      <c r="G1" s="147"/>
    </row>
    <row r="2" spans="1:7" ht="18" customHeight="1" x14ac:dyDescent="0.2">
      <c r="A2" s="599" t="s">
        <v>38</v>
      </c>
      <c r="B2" s="599"/>
      <c r="C2" s="599"/>
      <c r="D2" s="599"/>
      <c r="E2" s="599"/>
      <c r="F2" s="599"/>
      <c r="G2" s="89"/>
    </row>
    <row r="3" spans="1:7" ht="15.75" x14ac:dyDescent="0.2">
      <c r="A3" s="90"/>
      <c r="B3" s="90"/>
      <c r="C3" s="90"/>
      <c r="D3" s="90"/>
      <c r="E3" s="90"/>
      <c r="F3" s="90"/>
      <c r="G3" s="89"/>
    </row>
    <row r="4" spans="1:7" ht="30" x14ac:dyDescent="0.2">
      <c r="A4" s="91"/>
      <c r="B4" s="151" t="s">
        <v>59</v>
      </c>
      <c r="C4" s="152" t="s">
        <v>37</v>
      </c>
      <c r="D4" s="153" t="s">
        <v>1</v>
      </c>
      <c r="E4" s="154">
        <f>D45</f>
        <v>94</v>
      </c>
      <c r="F4" s="155" t="s">
        <v>36</v>
      </c>
      <c r="G4" s="205" t="e">
        <f>E4/Summary!#REF!</f>
        <v>#REF!</v>
      </c>
    </row>
    <row r="5" spans="1:7" ht="15" customHeight="1" x14ac:dyDescent="0.2">
      <c r="A5" s="74">
        <v>44313</v>
      </c>
      <c r="B5" s="228">
        <v>3</v>
      </c>
      <c r="C5" s="229">
        <v>1</v>
      </c>
      <c r="D5" s="224">
        <f>SUM(B5:C5)</f>
        <v>4</v>
      </c>
      <c r="E5" s="95"/>
      <c r="F5" s="49"/>
      <c r="G5" s="49"/>
    </row>
    <row r="6" spans="1:7" ht="15" customHeight="1" x14ac:dyDescent="0.2">
      <c r="A6" s="74">
        <v>44314</v>
      </c>
      <c r="B6" s="230">
        <v>0</v>
      </c>
      <c r="C6" s="231">
        <v>1</v>
      </c>
      <c r="D6" s="224">
        <f t="shared" ref="D6:D44" si="0">SUM(B6:C6)</f>
        <v>1</v>
      </c>
      <c r="E6" s="96"/>
      <c r="F6" s="49"/>
      <c r="G6" s="49"/>
    </row>
    <row r="7" spans="1:7" ht="15" customHeight="1" x14ac:dyDescent="0.2">
      <c r="A7" s="74">
        <v>44315</v>
      </c>
      <c r="B7" s="230">
        <v>1</v>
      </c>
      <c r="C7" s="231">
        <v>0</v>
      </c>
      <c r="D7" s="224">
        <f t="shared" si="0"/>
        <v>1</v>
      </c>
      <c r="E7" s="96"/>
      <c r="F7" s="49"/>
      <c r="G7" s="49"/>
    </row>
    <row r="8" spans="1:7" ht="15" customHeight="1" x14ac:dyDescent="0.2">
      <c r="A8" s="74">
        <v>44316</v>
      </c>
      <c r="B8" s="230">
        <v>0</v>
      </c>
      <c r="C8" s="231">
        <v>0</v>
      </c>
      <c r="D8" s="224">
        <f t="shared" si="0"/>
        <v>0</v>
      </c>
      <c r="E8" s="96"/>
      <c r="F8" s="49"/>
      <c r="G8" s="49"/>
    </row>
    <row r="9" spans="1:7" ht="15" customHeight="1" x14ac:dyDescent="0.2">
      <c r="A9" s="74">
        <v>44317</v>
      </c>
      <c r="B9" s="230">
        <v>0</v>
      </c>
      <c r="C9" s="231">
        <v>1</v>
      </c>
      <c r="D9" s="224">
        <f t="shared" si="0"/>
        <v>1</v>
      </c>
      <c r="E9" s="96"/>
      <c r="F9" s="49"/>
      <c r="G9" s="49"/>
    </row>
    <row r="10" spans="1:7" ht="15" customHeight="1" x14ac:dyDescent="0.2">
      <c r="A10" s="75">
        <v>44318</v>
      </c>
      <c r="B10" s="232"/>
      <c r="C10" s="233"/>
      <c r="D10" s="225"/>
      <c r="E10" s="96"/>
      <c r="F10" s="49"/>
      <c r="G10" s="49"/>
    </row>
    <row r="11" spans="1:7" ht="15" customHeight="1" x14ac:dyDescent="0.2">
      <c r="A11" s="76">
        <v>44319</v>
      </c>
      <c r="B11" s="230">
        <v>0</v>
      </c>
      <c r="C11" s="231">
        <v>1</v>
      </c>
      <c r="D11" s="224">
        <f t="shared" si="0"/>
        <v>1</v>
      </c>
      <c r="E11" s="96"/>
      <c r="F11" s="49"/>
      <c r="G11" s="49"/>
    </row>
    <row r="12" spans="1:7" ht="15" customHeight="1" x14ac:dyDescent="0.2">
      <c r="A12" s="74">
        <v>44320</v>
      </c>
      <c r="B12" s="230">
        <v>0</v>
      </c>
      <c r="C12" s="231">
        <v>0</v>
      </c>
      <c r="D12" s="224">
        <f t="shared" si="0"/>
        <v>0</v>
      </c>
      <c r="E12" s="99"/>
      <c r="F12" s="49"/>
      <c r="G12" s="49"/>
    </row>
    <row r="13" spans="1:7" ht="15" customHeight="1" x14ac:dyDescent="0.2">
      <c r="A13" s="74">
        <v>44321</v>
      </c>
      <c r="B13" s="230">
        <v>0</v>
      </c>
      <c r="C13" s="231">
        <v>1</v>
      </c>
      <c r="D13" s="224">
        <f t="shared" si="0"/>
        <v>1</v>
      </c>
      <c r="E13" s="96"/>
      <c r="F13" s="49"/>
      <c r="G13" s="49"/>
    </row>
    <row r="14" spans="1:7" ht="15" customHeight="1" x14ac:dyDescent="0.2">
      <c r="A14" s="74">
        <v>44322</v>
      </c>
      <c r="B14" s="230">
        <v>0</v>
      </c>
      <c r="C14" s="231">
        <v>0</v>
      </c>
      <c r="D14" s="224">
        <f t="shared" si="0"/>
        <v>0</v>
      </c>
      <c r="E14" s="96"/>
      <c r="F14" s="49"/>
      <c r="G14" s="49"/>
    </row>
    <row r="15" spans="1:7" ht="15" customHeight="1" x14ac:dyDescent="0.2">
      <c r="A15" s="74">
        <v>44323</v>
      </c>
      <c r="B15" s="230">
        <v>0</v>
      </c>
      <c r="C15" s="231">
        <v>0</v>
      </c>
      <c r="D15" s="224">
        <f t="shared" si="0"/>
        <v>0</v>
      </c>
      <c r="E15" s="96"/>
      <c r="F15" s="49"/>
      <c r="G15" s="49"/>
    </row>
    <row r="16" spans="1:7" ht="15" customHeight="1" x14ac:dyDescent="0.25">
      <c r="A16" s="75">
        <v>44324</v>
      </c>
      <c r="B16" s="234"/>
      <c r="C16" s="235"/>
      <c r="D16" s="225"/>
      <c r="E16" s="97"/>
      <c r="F16" s="92"/>
      <c r="G16" s="93"/>
    </row>
    <row r="17" spans="1:7" ht="15" customHeight="1" x14ac:dyDescent="0.2">
      <c r="A17" s="75">
        <v>44325</v>
      </c>
      <c r="B17" s="234"/>
      <c r="C17" s="235"/>
      <c r="D17" s="225"/>
      <c r="E17" s="98"/>
      <c r="F17" s="92"/>
      <c r="G17" s="93"/>
    </row>
    <row r="18" spans="1:7" ht="15" customHeight="1" x14ac:dyDescent="0.2">
      <c r="A18" s="76">
        <v>44326</v>
      </c>
      <c r="B18" s="236">
        <v>0</v>
      </c>
      <c r="C18" s="237">
        <v>0</v>
      </c>
      <c r="D18" s="224">
        <f t="shared" si="0"/>
        <v>0</v>
      </c>
      <c r="E18" s="98"/>
      <c r="F18" s="92"/>
      <c r="G18" s="93"/>
    </row>
    <row r="19" spans="1:7" ht="15" customHeight="1" x14ac:dyDescent="0.2">
      <c r="A19" s="76">
        <v>44327</v>
      </c>
      <c r="B19" s="236">
        <v>0</v>
      </c>
      <c r="C19" s="237">
        <v>2</v>
      </c>
      <c r="D19" s="224">
        <f t="shared" si="0"/>
        <v>2</v>
      </c>
      <c r="E19" s="98"/>
      <c r="F19" s="92"/>
      <c r="G19" s="93"/>
    </row>
    <row r="20" spans="1:7" ht="15" customHeight="1" x14ac:dyDescent="0.2">
      <c r="A20" s="74">
        <v>44328</v>
      </c>
      <c r="B20" s="236">
        <v>1</v>
      </c>
      <c r="C20" s="237">
        <v>0</v>
      </c>
      <c r="D20" s="224">
        <f t="shared" si="0"/>
        <v>1</v>
      </c>
      <c r="E20" s="98"/>
      <c r="F20" s="92"/>
      <c r="G20" s="93"/>
    </row>
    <row r="21" spans="1:7" ht="15" customHeight="1" x14ac:dyDescent="0.2">
      <c r="A21" s="74">
        <v>44329</v>
      </c>
      <c r="B21" s="236">
        <v>0</v>
      </c>
      <c r="C21" s="237">
        <v>1</v>
      </c>
      <c r="D21" s="224">
        <f t="shared" si="0"/>
        <v>1</v>
      </c>
      <c r="E21" s="98"/>
      <c r="F21" s="92"/>
      <c r="G21" s="93"/>
    </row>
    <row r="22" spans="1:7" ht="15" customHeight="1" x14ac:dyDescent="0.2">
      <c r="A22" s="74">
        <v>44330</v>
      </c>
      <c r="B22" s="236">
        <v>0</v>
      </c>
      <c r="C22" s="237">
        <v>0</v>
      </c>
      <c r="D22" s="224">
        <f t="shared" si="0"/>
        <v>0</v>
      </c>
      <c r="E22" s="98"/>
      <c r="F22" s="92"/>
      <c r="G22" s="93"/>
    </row>
    <row r="23" spans="1:7" ht="15" customHeight="1" x14ac:dyDescent="0.2">
      <c r="A23" s="75">
        <v>44331</v>
      </c>
      <c r="B23" s="234"/>
      <c r="C23" s="235"/>
      <c r="D23" s="225"/>
      <c r="E23" s="98"/>
      <c r="F23" s="92"/>
      <c r="G23" s="93"/>
    </row>
    <row r="24" spans="1:7" ht="15" customHeight="1" x14ac:dyDescent="0.2">
      <c r="A24" s="75">
        <v>44332</v>
      </c>
      <c r="B24" s="234"/>
      <c r="C24" s="235"/>
      <c r="D24" s="225"/>
      <c r="E24" s="98"/>
      <c r="F24" s="92"/>
      <c r="G24" s="93"/>
    </row>
    <row r="25" spans="1:7" ht="15" customHeight="1" x14ac:dyDescent="0.2">
      <c r="A25" s="76">
        <v>44333</v>
      </c>
      <c r="B25" s="236">
        <v>2</v>
      </c>
      <c r="C25" s="237">
        <v>1</v>
      </c>
      <c r="D25" s="224">
        <f t="shared" si="0"/>
        <v>3</v>
      </c>
      <c r="E25" s="98"/>
      <c r="F25" s="92"/>
      <c r="G25" s="93"/>
    </row>
    <row r="26" spans="1:7" ht="15" customHeight="1" x14ac:dyDescent="0.2">
      <c r="A26" s="74">
        <v>44334</v>
      </c>
      <c r="B26" s="236">
        <v>0</v>
      </c>
      <c r="C26" s="237">
        <v>0</v>
      </c>
      <c r="D26" s="224">
        <f t="shared" si="0"/>
        <v>0</v>
      </c>
      <c r="E26" s="98"/>
      <c r="F26" s="92"/>
      <c r="G26" s="93"/>
    </row>
    <row r="27" spans="1:7" ht="15" customHeight="1" x14ac:dyDescent="0.2">
      <c r="A27" s="74">
        <v>44335</v>
      </c>
      <c r="B27" s="236">
        <v>0</v>
      </c>
      <c r="C27" s="237">
        <v>1</v>
      </c>
      <c r="D27" s="224">
        <f t="shared" si="0"/>
        <v>1</v>
      </c>
      <c r="E27" s="98"/>
      <c r="F27" s="92"/>
      <c r="G27" s="93"/>
    </row>
    <row r="28" spans="1:7" ht="15" customHeight="1" x14ac:dyDescent="0.2">
      <c r="A28" s="74">
        <v>44336</v>
      </c>
      <c r="B28" s="236">
        <v>1</v>
      </c>
      <c r="C28" s="237">
        <v>0</v>
      </c>
      <c r="D28" s="224">
        <f t="shared" si="0"/>
        <v>1</v>
      </c>
      <c r="E28" s="98"/>
      <c r="F28" s="92"/>
      <c r="G28" s="93"/>
    </row>
    <row r="29" spans="1:7" ht="15" customHeight="1" x14ac:dyDescent="0.2">
      <c r="A29" s="74">
        <v>44337</v>
      </c>
      <c r="B29" s="236">
        <v>1</v>
      </c>
      <c r="C29" s="237">
        <v>0</v>
      </c>
      <c r="D29" s="224">
        <f t="shared" si="0"/>
        <v>1</v>
      </c>
      <c r="E29" s="98"/>
      <c r="F29" s="92"/>
      <c r="G29" s="93"/>
    </row>
    <row r="30" spans="1:7" ht="15" customHeight="1" x14ac:dyDescent="0.2">
      <c r="A30" s="75">
        <v>44338</v>
      </c>
      <c r="B30" s="234"/>
      <c r="C30" s="235"/>
      <c r="D30" s="225"/>
      <c r="E30" s="98"/>
      <c r="F30" s="92"/>
      <c r="G30" s="93"/>
    </row>
    <row r="31" spans="1:7" ht="15" customHeight="1" x14ac:dyDescent="0.2">
      <c r="A31" s="75">
        <v>44339</v>
      </c>
      <c r="B31" s="234"/>
      <c r="C31" s="235"/>
      <c r="D31" s="225"/>
      <c r="E31" s="98"/>
      <c r="F31" s="92"/>
      <c r="G31" s="93"/>
    </row>
    <row r="32" spans="1:7" ht="15" customHeight="1" x14ac:dyDescent="0.2">
      <c r="A32" s="76">
        <v>44340</v>
      </c>
      <c r="B32" s="238">
        <v>0</v>
      </c>
      <c r="C32" s="239">
        <v>1</v>
      </c>
      <c r="D32" s="224">
        <f t="shared" si="0"/>
        <v>1</v>
      </c>
      <c r="E32" s="98"/>
      <c r="F32" s="92"/>
      <c r="G32" s="93"/>
    </row>
    <row r="33" spans="1:7" ht="15" customHeight="1" x14ac:dyDescent="0.2">
      <c r="A33" s="74">
        <v>44341</v>
      </c>
      <c r="B33" s="238">
        <v>0</v>
      </c>
      <c r="C33" s="239">
        <v>1</v>
      </c>
      <c r="D33" s="224">
        <f t="shared" si="0"/>
        <v>1</v>
      </c>
      <c r="E33" s="98"/>
      <c r="F33" s="92"/>
      <c r="G33" s="93"/>
    </row>
    <row r="34" spans="1:7" ht="15" customHeight="1" x14ac:dyDescent="0.2">
      <c r="A34" s="74">
        <v>44342</v>
      </c>
      <c r="B34" s="238">
        <v>1</v>
      </c>
      <c r="C34" s="239">
        <v>1</v>
      </c>
      <c r="D34" s="224">
        <f t="shared" si="0"/>
        <v>2</v>
      </c>
      <c r="E34" s="98"/>
      <c r="F34" s="92"/>
      <c r="G34" s="93"/>
    </row>
    <row r="35" spans="1:7" ht="15" customHeight="1" x14ac:dyDescent="0.2">
      <c r="A35" s="74">
        <v>44343</v>
      </c>
      <c r="B35" s="230">
        <v>0</v>
      </c>
      <c r="C35" s="231">
        <v>0</v>
      </c>
      <c r="D35" s="224">
        <f t="shared" si="0"/>
        <v>0</v>
      </c>
      <c r="E35" s="96"/>
      <c r="F35" s="49"/>
      <c r="G35" s="49"/>
    </row>
    <row r="36" spans="1:7" ht="15" customHeight="1" x14ac:dyDescent="0.2">
      <c r="A36" s="74">
        <v>44344</v>
      </c>
      <c r="B36" s="230">
        <v>0</v>
      </c>
      <c r="C36" s="231">
        <v>0</v>
      </c>
      <c r="D36" s="224">
        <f t="shared" si="0"/>
        <v>0</v>
      </c>
      <c r="E36" s="96"/>
      <c r="F36" s="49"/>
      <c r="G36" s="49"/>
    </row>
    <row r="37" spans="1:7" ht="15" customHeight="1" x14ac:dyDescent="0.2">
      <c r="A37" s="74">
        <v>44345</v>
      </c>
      <c r="B37" s="230">
        <v>3</v>
      </c>
      <c r="C37" s="231">
        <v>13</v>
      </c>
      <c r="D37" s="224">
        <f t="shared" si="0"/>
        <v>16</v>
      </c>
      <c r="E37" s="96"/>
      <c r="F37" s="49"/>
      <c r="G37" s="49"/>
    </row>
    <row r="38" spans="1:7" ht="15" customHeight="1" x14ac:dyDescent="0.2">
      <c r="A38" s="75">
        <v>44346</v>
      </c>
      <c r="B38" s="232"/>
      <c r="C38" s="233"/>
      <c r="D38" s="225"/>
      <c r="E38" s="96"/>
      <c r="F38" s="49"/>
      <c r="G38" s="49"/>
    </row>
    <row r="39" spans="1:7" ht="15" customHeight="1" x14ac:dyDescent="0.2">
      <c r="A39" s="75">
        <v>44347</v>
      </c>
      <c r="B39" s="232"/>
      <c r="C39" s="233"/>
      <c r="D39" s="225"/>
      <c r="E39" s="96"/>
      <c r="F39" s="49"/>
      <c r="G39" s="49"/>
    </row>
    <row r="40" spans="1:7" ht="15" customHeight="1" x14ac:dyDescent="0.2">
      <c r="A40" s="74">
        <v>44348</v>
      </c>
      <c r="B40" s="230">
        <v>2</v>
      </c>
      <c r="C40" s="231">
        <v>5</v>
      </c>
      <c r="D40" s="224">
        <f t="shared" si="0"/>
        <v>7</v>
      </c>
      <c r="E40" s="96"/>
      <c r="F40" s="49"/>
      <c r="G40" s="49"/>
    </row>
    <row r="41" spans="1:7" ht="15" customHeight="1" x14ac:dyDescent="0.2">
      <c r="A41" s="74">
        <v>44349</v>
      </c>
      <c r="B41" s="230">
        <v>1</v>
      </c>
      <c r="C41" s="231">
        <v>5</v>
      </c>
      <c r="D41" s="224">
        <f t="shared" si="0"/>
        <v>6</v>
      </c>
      <c r="E41" s="96"/>
      <c r="F41" s="49"/>
      <c r="G41" s="49"/>
    </row>
    <row r="42" spans="1:7" ht="15" customHeight="1" x14ac:dyDescent="0.2">
      <c r="A42" s="74">
        <v>44350</v>
      </c>
      <c r="B42" s="230">
        <v>0</v>
      </c>
      <c r="C42" s="231">
        <v>9</v>
      </c>
      <c r="D42" s="224">
        <f t="shared" si="0"/>
        <v>9</v>
      </c>
      <c r="E42" s="96"/>
      <c r="F42" s="49"/>
      <c r="G42" s="49"/>
    </row>
    <row r="43" spans="1:7" ht="15" customHeight="1" x14ac:dyDescent="0.2">
      <c r="A43" s="74">
        <v>44351</v>
      </c>
      <c r="B43" s="230">
        <v>2</v>
      </c>
      <c r="C43" s="231">
        <v>10</v>
      </c>
      <c r="D43" s="224">
        <f t="shared" si="0"/>
        <v>12</v>
      </c>
      <c r="E43" s="96"/>
      <c r="F43" s="49"/>
      <c r="G43" s="49"/>
    </row>
    <row r="44" spans="1:7" ht="15" customHeight="1" x14ac:dyDescent="0.2">
      <c r="A44" s="88">
        <v>44352</v>
      </c>
      <c r="B44" s="240">
        <v>9</v>
      </c>
      <c r="C44" s="241">
        <v>12</v>
      </c>
      <c r="D44" s="226">
        <f t="shared" si="0"/>
        <v>21</v>
      </c>
      <c r="E44" s="98"/>
      <c r="F44" s="92"/>
      <c r="G44" s="93"/>
    </row>
    <row r="45" spans="1:7" ht="15" customHeight="1" x14ac:dyDescent="0.25">
      <c r="A45" s="87"/>
      <c r="B45" s="242">
        <f>SUM(B5:B44)</f>
        <v>27</v>
      </c>
      <c r="C45" s="243">
        <f>SUM(C5:C44)</f>
        <v>67</v>
      </c>
      <c r="D45" s="227">
        <f>SUM(D5:D44)</f>
        <v>94</v>
      </c>
      <c r="E45" s="98"/>
      <c r="F45" s="94"/>
      <c r="G45" s="89"/>
    </row>
    <row r="46" spans="1:7" x14ac:dyDescent="0.2">
      <c r="A46" s="86"/>
    </row>
    <row r="47" spans="1:7" x14ac:dyDescent="0.2">
      <c r="A47" s="86"/>
    </row>
    <row r="48" spans="1:7" x14ac:dyDescent="0.2">
      <c r="A48" s="50"/>
    </row>
  </sheetData>
  <mergeCells count="2">
    <mergeCell ref="A1:F1"/>
    <mergeCell ref="A2:F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CFC32-4BF5-4E51-8ABB-5979E7A9915D}">
  <dimension ref="A1:S59"/>
  <sheetViews>
    <sheetView showGridLines="0" topLeftCell="A28" workbookViewId="0">
      <selection activeCell="S35" sqref="S35"/>
    </sheetView>
  </sheetViews>
  <sheetFormatPr defaultColWidth="9" defaultRowHeight="14.25" x14ac:dyDescent="0.2"/>
  <cols>
    <col min="1" max="3" width="9" style="41"/>
    <col min="4" max="4" width="3.625" style="41" customWidth="1"/>
    <col min="5" max="7" width="9" style="41"/>
    <col min="8" max="8" width="3.625" style="41" customWidth="1"/>
    <col min="9" max="11" width="9" style="41"/>
    <col min="12" max="12" width="3.625" style="41" customWidth="1"/>
    <col min="13" max="16384" width="9" style="41"/>
  </cols>
  <sheetData>
    <row r="1" spans="1:12" ht="75" customHeight="1" x14ac:dyDescent="0.2">
      <c r="A1" s="609" t="s">
        <v>90</v>
      </c>
      <c r="B1" s="609"/>
      <c r="C1" s="609"/>
      <c r="D1" s="609"/>
      <c r="E1" s="609"/>
      <c r="F1" s="609"/>
      <c r="G1" s="609"/>
      <c r="H1" s="609"/>
      <c r="I1" s="609"/>
      <c r="J1" s="609"/>
      <c r="K1" s="609"/>
      <c r="L1" s="138"/>
    </row>
    <row r="2" spans="1:12" ht="24.75" customHeight="1" x14ac:dyDescent="0.2">
      <c r="A2" s="600" t="s">
        <v>53</v>
      </c>
      <c r="B2" s="601"/>
      <c r="C2" s="602"/>
      <c r="D2" s="146"/>
      <c r="E2" s="603" t="s">
        <v>55</v>
      </c>
      <c r="F2" s="604"/>
      <c r="G2" s="605"/>
      <c r="H2" s="146"/>
      <c r="I2" s="606" t="s">
        <v>54</v>
      </c>
      <c r="J2" s="607"/>
      <c r="K2" s="608"/>
    </row>
    <row r="3" spans="1:12" ht="45.75" thickBot="1" x14ac:dyDescent="0.3">
      <c r="A3" s="143" t="s">
        <v>92</v>
      </c>
      <c r="B3" s="144" t="s">
        <v>91</v>
      </c>
      <c r="C3" s="145" t="s">
        <v>56</v>
      </c>
      <c r="D3" s="333"/>
      <c r="E3" s="143" t="s">
        <v>92</v>
      </c>
      <c r="F3" s="144" t="s">
        <v>91</v>
      </c>
      <c r="G3" s="145" t="s">
        <v>42</v>
      </c>
      <c r="H3" s="333"/>
      <c r="I3" s="143" t="s">
        <v>92</v>
      </c>
      <c r="J3" s="144" t="s">
        <v>91</v>
      </c>
      <c r="K3" s="145" t="s">
        <v>42</v>
      </c>
    </row>
    <row r="4" spans="1:12" ht="15" x14ac:dyDescent="0.25">
      <c r="A4" s="103">
        <v>8</v>
      </c>
      <c r="B4" s="101">
        <v>0</v>
      </c>
      <c r="C4" s="142">
        <f>SUM(A4:B4)</f>
        <v>8</v>
      </c>
      <c r="I4" s="103" t="e">
        <f>'Compare Early with ''17 &amp; ''20'!I4</f>
        <v>#REF!</v>
      </c>
      <c r="J4" s="41">
        <v>0</v>
      </c>
      <c r="K4" s="282" t="e">
        <f>SUM(I4:J4)</f>
        <v>#REF!</v>
      </c>
    </row>
    <row r="5" spans="1:12" x14ac:dyDescent="0.2">
      <c r="A5" s="104">
        <v>13</v>
      </c>
      <c r="B5" s="100">
        <v>0</v>
      </c>
      <c r="C5" s="108">
        <f t="shared" ref="C5:C49" si="0">SUM(A5:B5)</f>
        <v>13</v>
      </c>
      <c r="I5" s="103" t="e">
        <f>'Compare Early with ''17 &amp; ''20'!I5</f>
        <v>#REF!</v>
      </c>
      <c r="J5" s="41">
        <v>0</v>
      </c>
      <c r="K5" s="283" t="e">
        <f t="shared" ref="K5:K43" si="1">SUM(I5:J5)</f>
        <v>#REF!</v>
      </c>
    </row>
    <row r="6" spans="1:12" x14ac:dyDescent="0.2">
      <c r="A6" s="104">
        <v>13</v>
      </c>
      <c r="B6" s="100">
        <v>0</v>
      </c>
      <c r="C6" s="108">
        <f t="shared" si="0"/>
        <v>13</v>
      </c>
      <c r="I6" s="103" t="e">
        <f>'Compare Early with ''17 &amp; ''20'!I6</f>
        <v>#REF!</v>
      </c>
      <c r="J6" s="41">
        <v>0</v>
      </c>
      <c r="K6" s="283" t="e">
        <f t="shared" si="1"/>
        <v>#REF!</v>
      </c>
    </row>
    <row r="7" spans="1:12" ht="15" x14ac:dyDescent="0.25">
      <c r="A7" s="104">
        <v>23</v>
      </c>
      <c r="B7" s="100">
        <v>0</v>
      </c>
      <c r="C7" s="108">
        <f t="shared" si="0"/>
        <v>23</v>
      </c>
      <c r="E7" s="103">
        <v>4</v>
      </c>
      <c r="F7" s="101">
        <v>2</v>
      </c>
      <c r="G7" s="142">
        <f>SUM(E7:F7)</f>
        <v>6</v>
      </c>
      <c r="I7" s="103" t="e">
        <f>'Compare Early with ''17 &amp; ''20'!I7</f>
        <v>#REF!</v>
      </c>
      <c r="J7" s="100">
        <v>4</v>
      </c>
      <c r="K7" s="283" t="e">
        <f t="shared" si="1"/>
        <v>#REF!</v>
      </c>
    </row>
    <row r="8" spans="1:12" x14ac:dyDescent="0.2">
      <c r="A8" s="104">
        <v>27</v>
      </c>
      <c r="B8" s="100">
        <v>4</v>
      </c>
      <c r="C8" s="108">
        <f t="shared" si="0"/>
        <v>31</v>
      </c>
      <c r="E8" s="104">
        <v>4</v>
      </c>
      <c r="F8" s="100">
        <v>2</v>
      </c>
      <c r="G8" s="108">
        <f t="shared" ref="G8:G50" si="2">SUM(E8:F8)</f>
        <v>6</v>
      </c>
      <c r="I8" s="103" t="e">
        <f>'Compare Early with ''17 &amp; ''20'!I8</f>
        <v>#REF!</v>
      </c>
      <c r="J8" s="100">
        <v>28</v>
      </c>
      <c r="K8" s="283" t="e">
        <f t="shared" si="1"/>
        <v>#REF!</v>
      </c>
    </row>
    <row r="9" spans="1:12" x14ac:dyDescent="0.2">
      <c r="A9" s="104">
        <v>44</v>
      </c>
      <c r="B9" s="100">
        <v>8</v>
      </c>
      <c r="C9" s="108">
        <f t="shared" si="0"/>
        <v>52</v>
      </c>
      <c r="E9" s="104">
        <v>4</v>
      </c>
      <c r="F9" s="100">
        <v>143</v>
      </c>
      <c r="G9" s="108">
        <f t="shared" si="2"/>
        <v>147</v>
      </c>
      <c r="I9" s="103" t="e">
        <f>'Compare Early with ''17 &amp; ''20'!I9</f>
        <v>#REF!</v>
      </c>
      <c r="J9" s="100">
        <v>44</v>
      </c>
      <c r="K9" s="283" t="e">
        <f t="shared" si="1"/>
        <v>#REF!</v>
      </c>
    </row>
    <row r="10" spans="1:12" x14ac:dyDescent="0.2">
      <c r="A10" s="104">
        <v>52</v>
      </c>
      <c r="B10" s="100">
        <v>12</v>
      </c>
      <c r="C10" s="108">
        <f t="shared" si="0"/>
        <v>64</v>
      </c>
      <c r="E10" s="104">
        <v>8</v>
      </c>
      <c r="F10" s="100">
        <v>327</v>
      </c>
      <c r="G10" s="108">
        <f t="shared" si="2"/>
        <v>335</v>
      </c>
      <c r="I10" s="103" t="e">
        <f>'Compare Early with ''17 &amp; ''20'!I10</f>
        <v>#REF!</v>
      </c>
      <c r="J10" s="100">
        <v>890</v>
      </c>
      <c r="K10" s="283" t="e">
        <f t="shared" si="1"/>
        <v>#REF!</v>
      </c>
    </row>
    <row r="11" spans="1:12" x14ac:dyDescent="0.2">
      <c r="A11" s="104">
        <v>64</v>
      </c>
      <c r="B11" s="100">
        <v>22</v>
      </c>
      <c r="C11" s="108">
        <f t="shared" si="0"/>
        <v>86</v>
      </c>
      <c r="E11" s="104">
        <v>11</v>
      </c>
      <c r="F11" s="100">
        <v>483</v>
      </c>
      <c r="G11" s="108">
        <f t="shared" si="2"/>
        <v>494</v>
      </c>
      <c r="I11" s="103" t="e">
        <f>'Compare Early with ''17 &amp; ''20'!I11</f>
        <v>#REF!</v>
      </c>
      <c r="J11" s="100">
        <v>1172</v>
      </c>
      <c r="K11" s="283" t="e">
        <f t="shared" si="1"/>
        <v>#REF!</v>
      </c>
    </row>
    <row r="12" spans="1:12" x14ac:dyDescent="0.2">
      <c r="A12" s="104">
        <v>64</v>
      </c>
      <c r="B12" s="100">
        <v>22</v>
      </c>
      <c r="C12" s="108">
        <f t="shared" si="0"/>
        <v>86</v>
      </c>
      <c r="E12" s="104">
        <v>17</v>
      </c>
      <c r="F12" s="100">
        <v>483</v>
      </c>
      <c r="G12" s="108">
        <f t="shared" si="2"/>
        <v>500</v>
      </c>
      <c r="I12" s="103" t="e">
        <f>'Compare Early with ''17 &amp; ''20'!I12</f>
        <v>#REF!</v>
      </c>
      <c r="J12" s="100">
        <v>1172</v>
      </c>
      <c r="K12" s="283" t="e">
        <f t="shared" si="1"/>
        <v>#REF!</v>
      </c>
    </row>
    <row r="13" spans="1:12" x14ac:dyDescent="0.2">
      <c r="A13" s="104">
        <v>64</v>
      </c>
      <c r="B13" s="100">
        <v>22</v>
      </c>
      <c r="C13" s="108">
        <f t="shared" si="0"/>
        <v>86</v>
      </c>
      <c r="E13" s="104">
        <v>17</v>
      </c>
      <c r="F13" s="100">
        <v>483</v>
      </c>
      <c r="G13" s="108">
        <f t="shared" si="2"/>
        <v>500</v>
      </c>
      <c r="I13" s="103" t="e">
        <f>'Compare Early with ''17 &amp; ''20'!I13</f>
        <v>#REF!</v>
      </c>
      <c r="J13" s="100">
        <v>1172</v>
      </c>
      <c r="K13" s="283" t="e">
        <f t="shared" si="1"/>
        <v>#REF!</v>
      </c>
    </row>
    <row r="14" spans="1:12" x14ac:dyDescent="0.2">
      <c r="A14" s="104">
        <v>85</v>
      </c>
      <c r="B14" s="100">
        <v>38</v>
      </c>
      <c r="C14" s="108">
        <f t="shared" si="0"/>
        <v>123</v>
      </c>
      <c r="E14" s="104">
        <v>21</v>
      </c>
      <c r="F14" s="100">
        <v>1081</v>
      </c>
      <c r="G14" s="108">
        <f t="shared" si="2"/>
        <v>1102</v>
      </c>
      <c r="I14" s="103" t="e">
        <f>'Compare Early with ''17 &amp; ''20'!I14</f>
        <v>#REF!</v>
      </c>
      <c r="J14" s="100">
        <v>1813</v>
      </c>
      <c r="K14" s="283" t="e">
        <f t="shared" si="1"/>
        <v>#REF!</v>
      </c>
    </row>
    <row r="15" spans="1:12" x14ac:dyDescent="0.2">
      <c r="A15" s="104">
        <v>100</v>
      </c>
      <c r="B15" s="100">
        <v>80</v>
      </c>
      <c r="C15" s="108">
        <f t="shared" si="0"/>
        <v>180</v>
      </c>
      <c r="E15" s="104">
        <v>21</v>
      </c>
      <c r="F15" s="100">
        <v>1151</v>
      </c>
      <c r="G15" s="108">
        <f t="shared" si="2"/>
        <v>1172</v>
      </c>
      <c r="I15" s="103" t="e">
        <f>'Compare Early with ''17 &amp; ''20'!I15</f>
        <v>#REF!</v>
      </c>
      <c r="J15" s="100">
        <v>1841</v>
      </c>
      <c r="K15" s="283" t="e">
        <f t="shared" si="1"/>
        <v>#REF!</v>
      </c>
    </row>
    <row r="16" spans="1:12" x14ac:dyDescent="0.2">
      <c r="A16" s="104">
        <v>115</v>
      </c>
      <c r="B16" s="100">
        <v>121</v>
      </c>
      <c r="C16" s="108">
        <f t="shared" si="0"/>
        <v>236</v>
      </c>
      <c r="E16" s="104">
        <v>21</v>
      </c>
      <c r="F16" s="100">
        <v>1657</v>
      </c>
      <c r="G16" s="108">
        <f t="shared" si="2"/>
        <v>1678</v>
      </c>
      <c r="I16" s="103" t="e">
        <f>'Compare Early with ''17 &amp; ''20'!I16</f>
        <v>#REF!</v>
      </c>
      <c r="J16" s="100">
        <v>1856</v>
      </c>
      <c r="K16" s="283" t="e">
        <f t="shared" si="1"/>
        <v>#REF!</v>
      </c>
    </row>
    <row r="17" spans="1:16" x14ac:dyDescent="0.2">
      <c r="A17" s="104">
        <v>126</v>
      </c>
      <c r="B17" s="100">
        <v>137</v>
      </c>
      <c r="C17" s="108">
        <f t="shared" si="0"/>
        <v>263</v>
      </c>
      <c r="E17" s="104">
        <v>22</v>
      </c>
      <c r="F17" s="100">
        <v>1978</v>
      </c>
      <c r="G17" s="108">
        <f t="shared" si="2"/>
        <v>2000</v>
      </c>
      <c r="I17" s="103" t="e">
        <f>'Compare Early with ''17 &amp; ''20'!I17</f>
        <v>#REF!</v>
      </c>
      <c r="J17" s="100">
        <v>2527</v>
      </c>
      <c r="K17" s="283" t="e">
        <f t="shared" si="1"/>
        <v>#REF!</v>
      </c>
    </row>
    <row r="18" spans="1:16" ht="15" thickBot="1" x14ac:dyDescent="0.25">
      <c r="A18" s="104">
        <v>134</v>
      </c>
      <c r="B18" s="100">
        <v>142</v>
      </c>
      <c r="C18" s="108">
        <f t="shared" si="0"/>
        <v>276</v>
      </c>
      <c r="E18" s="104">
        <v>23</v>
      </c>
      <c r="F18" s="100">
        <v>2285</v>
      </c>
      <c r="G18" s="108">
        <f t="shared" si="2"/>
        <v>2308</v>
      </c>
      <c r="I18" s="103" t="e">
        <f>'Compare Early with ''17 &amp; ''20'!I18</f>
        <v>#REF!</v>
      </c>
      <c r="J18" s="100">
        <v>2752</v>
      </c>
      <c r="K18" s="283" t="e">
        <f t="shared" si="1"/>
        <v>#REF!</v>
      </c>
      <c r="N18" s="337"/>
      <c r="O18" s="338" t="s">
        <v>85</v>
      </c>
      <c r="P18" s="338" t="s">
        <v>86</v>
      </c>
    </row>
    <row r="19" spans="1:16" x14ac:dyDescent="0.2">
      <c r="A19" s="104">
        <v>134</v>
      </c>
      <c r="B19" s="100">
        <v>142</v>
      </c>
      <c r="C19" s="108">
        <f t="shared" si="0"/>
        <v>276</v>
      </c>
      <c r="E19" s="104">
        <v>26</v>
      </c>
      <c r="F19" s="100">
        <v>2285</v>
      </c>
      <c r="G19" s="108">
        <f t="shared" si="2"/>
        <v>2311</v>
      </c>
      <c r="I19" s="103" t="e">
        <f>'Compare Early with ''17 &amp; ''20'!I19</f>
        <v>#REF!</v>
      </c>
      <c r="J19" s="100">
        <v>2752</v>
      </c>
      <c r="K19" s="283" t="e">
        <f t="shared" si="1"/>
        <v>#REF!</v>
      </c>
      <c r="N19" s="339">
        <v>2017</v>
      </c>
      <c r="O19" s="336">
        <f>A54</f>
        <v>0.68218579234972676</v>
      </c>
      <c r="P19" s="336">
        <f>B54</f>
        <v>0.31781420765027324</v>
      </c>
    </row>
    <row r="20" spans="1:16" x14ac:dyDescent="0.2">
      <c r="A20" s="104">
        <v>134</v>
      </c>
      <c r="B20" s="100">
        <v>142</v>
      </c>
      <c r="C20" s="108">
        <f t="shared" si="0"/>
        <v>276</v>
      </c>
      <c r="E20" s="104">
        <v>31</v>
      </c>
      <c r="F20" s="100">
        <v>2285</v>
      </c>
      <c r="G20" s="108">
        <f t="shared" si="2"/>
        <v>2316</v>
      </c>
      <c r="I20" s="103" t="e">
        <f>'Compare Early with ''17 &amp; ''20'!I20</f>
        <v>#REF!</v>
      </c>
      <c r="J20" s="100">
        <v>2752</v>
      </c>
      <c r="K20" s="283" t="e">
        <f t="shared" si="1"/>
        <v>#REF!</v>
      </c>
      <c r="N20" s="340" t="s">
        <v>94</v>
      </c>
      <c r="O20" s="335">
        <f>E54</f>
        <v>1.0554178114320177E-2</v>
      </c>
      <c r="P20" s="335">
        <f>F54</f>
        <v>0.98944582188567987</v>
      </c>
    </row>
    <row r="21" spans="1:16" x14ac:dyDescent="0.2">
      <c r="A21" s="104">
        <v>148</v>
      </c>
      <c r="B21" s="100">
        <v>233</v>
      </c>
      <c r="C21" s="108">
        <f t="shared" si="0"/>
        <v>381</v>
      </c>
      <c r="E21" s="104">
        <v>32</v>
      </c>
      <c r="F21" s="100">
        <v>2285</v>
      </c>
      <c r="G21" s="108">
        <f t="shared" si="2"/>
        <v>2317</v>
      </c>
      <c r="I21" s="103" t="e">
        <f>'Compare Early with ''17 &amp; ''20'!I21</f>
        <v>#REF!</v>
      </c>
      <c r="J21" s="100">
        <v>2954</v>
      </c>
      <c r="K21" s="283" t="e">
        <f t="shared" si="1"/>
        <v>#REF!</v>
      </c>
      <c r="N21" s="334" t="s">
        <v>93</v>
      </c>
      <c r="O21" s="335">
        <v>0.46</v>
      </c>
      <c r="P21" s="335">
        <f>100%-O21</f>
        <v>0.54</v>
      </c>
    </row>
    <row r="22" spans="1:16" x14ac:dyDescent="0.2">
      <c r="A22" s="104">
        <v>176</v>
      </c>
      <c r="B22" s="100">
        <v>235</v>
      </c>
      <c r="C22" s="108">
        <f t="shared" si="0"/>
        <v>411</v>
      </c>
      <c r="E22" s="104">
        <v>32</v>
      </c>
      <c r="F22" s="100">
        <v>3441</v>
      </c>
      <c r="G22" s="108">
        <f t="shared" si="2"/>
        <v>3473</v>
      </c>
      <c r="I22" s="103" t="e">
        <f>'Compare Early with ''17 &amp; ''20'!I22</f>
        <v>#REF!</v>
      </c>
      <c r="J22" s="100">
        <v>3330</v>
      </c>
      <c r="K22" s="283" t="e">
        <f t="shared" si="1"/>
        <v>#REF!</v>
      </c>
      <c r="N22" s="340">
        <v>2021</v>
      </c>
      <c r="O22" s="335" t="e">
        <f>I54</f>
        <v>#REF!</v>
      </c>
      <c r="P22" s="335" t="e">
        <f>J54</f>
        <v>#REF!</v>
      </c>
    </row>
    <row r="23" spans="1:16" x14ac:dyDescent="0.2">
      <c r="A23" s="104">
        <v>192</v>
      </c>
      <c r="B23" s="100">
        <v>263</v>
      </c>
      <c r="C23" s="108">
        <f t="shared" si="0"/>
        <v>455</v>
      </c>
      <c r="E23" s="104">
        <v>32</v>
      </c>
      <c r="F23" s="100">
        <v>3459</v>
      </c>
      <c r="G23" s="108">
        <f t="shared" si="2"/>
        <v>3491</v>
      </c>
      <c r="I23" s="103" t="e">
        <f>'Compare Early with ''17 &amp; ''20'!I23</f>
        <v>#REF!</v>
      </c>
      <c r="J23" s="100">
        <v>3347</v>
      </c>
      <c r="K23" s="283" t="e">
        <f t="shared" si="1"/>
        <v>#REF!</v>
      </c>
    </row>
    <row r="24" spans="1:16" x14ac:dyDescent="0.2">
      <c r="A24" s="104">
        <v>229</v>
      </c>
      <c r="B24" s="100">
        <v>281</v>
      </c>
      <c r="C24" s="108">
        <f t="shared" si="0"/>
        <v>510</v>
      </c>
      <c r="E24" s="104">
        <v>32</v>
      </c>
      <c r="F24" s="100">
        <v>4594</v>
      </c>
      <c r="G24" s="108">
        <f t="shared" si="2"/>
        <v>4626</v>
      </c>
      <c r="I24" s="103" t="e">
        <f>'Compare Early with ''17 &amp; ''20'!I24</f>
        <v>#REF!</v>
      </c>
      <c r="J24" s="100">
        <v>3939</v>
      </c>
      <c r="K24" s="283" t="e">
        <f t="shared" si="1"/>
        <v>#REF!</v>
      </c>
    </row>
    <row r="25" spans="1:16" x14ac:dyDescent="0.2">
      <c r="A25" s="104">
        <v>254</v>
      </c>
      <c r="B25" s="100">
        <v>293</v>
      </c>
      <c r="C25" s="108">
        <f t="shared" si="0"/>
        <v>547</v>
      </c>
      <c r="E25" s="104">
        <v>34</v>
      </c>
      <c r="F25" s="100">
        <v>5113</v>
      </c>
      <c r="G25" s="108">
        <f t="shared" si="2"/>
        <v>5147</v>
      </c>
      <c r="I25" s="103" t="e">
        <f>'Compare Early with ''17 &amp; ''20'!I25</f>
        <v>#REF!</v>
      </c>
      <c r="J25" s="100">
        <v>3963</v>
      </c>
      <c r="K25" s="283" t="e">
        <f t="shared" si="1"/>
        <v>#REF!</v>
      </c>
    </row>
    <row r="26" spans="1:16" x14ac:dyDescent="0.2">
      <c r="A26" s="104">
        <v>254</v>
      </c>
      <c r="B26" s="100">
        <v>293</v>
      </c>
      <c r="C26" s="108">
        <f t="shared" si="0"/>
        <v>547</v>
      </c>
      <c r="E26" s="104">
        <v>41</v>
      </c>
      <c r="F26" s="100">
        <v>5113</v>
      </c>
      <c r="G26" s="108">
        <f t="shared" si="2"/>
        <v>5154</v>
      </c>
      <c r="I26" s="103" t="e">
        <f>'Compare Early with ''17 &amp; ''20'!I26</f>
        <v>#REF!</v>
      </c>
      <c r="J26" s="100">
        <v>3963</v>
      </c>
      <c r="K26" s="283" t="e">
        <f t="shared" si="1"/>
        <v>#REF!</v>
      </c>
    </row>
    <row r="27" spans="1:16" x14ac:dyDescent="0.2">
      <c r="A27" s="104">
        <v>254</v>
      </c>
      <c r="B27" s="100">
        <v>293</v>
      </c>
      <c r="C27" s="108">
        <f t="shared" si="0"/>
        <v>547</v>
      </c>
      <c r="E27" s="104">
        <v>42</v>
      </c>
      <c r="F27" s="100">
        <v>5113</v>
      </c>
      <c r="G27" s="108">
        <f t="shared" si="2"/>
        <v>5155</v>
      </c>
      <c r="I27" s="103" t="e">
        <f>'Compare Early with ''17 &amp; ''20'!I27</f>
        <v>#REF!</v>
      </c>
      <c r="J27" s="100">
        <v>3963</v>
      </c>
      <c r="K27" s="283" t="e">
        <f t="shared" si="1"/>
        <v>#REF!</v>
      </c>
    </row>
    <row r="28" spans="1:16" x14ac:dyDescent="0.2">
      <c r="A28" s="104">
        <v>295</v>
      </c>
      <c r="B28" s="100">
        <v>365</v>
      </c>
      <c r="C28" s="108">
        <f t="shared" si="0"/>
        <v>660</v>
      </c>
      <c r="E28" s="104">
        <v>50</v>
      </c>
      <c r="F28" s="100">
        <v>6748</v>
      </c>
      <c r="G28" s="108">
        <f t="shared" si="2"/>
        <v>6798</v>
      </c>
      <c r="I28" s="103" t="e">
        <f>'Compare Early with ''17 &amp; ''20'!I28</f>
        <v>#REF!</v>
      </c>
      <c r="J28" s="100">
        <v>4187</v>
      </c>
      <c r="K28" s="283" t="e">
        <f t="shared" si="1"/>
        <v>#REF!</v>
      </c>
      <c r="M28" s="273"/>
    </row>
    <row r="29" spans="1:16" x14ac:dyDescent="0.2">
      <c r="A29" s="104">
        <v>324</v>
      </c>
      <c r="B29" s="100">
        <v>377</v>
      </c>
      <c r="C29" s="108">
        <f t="shared" si="0"/>
        <v>701</v>
      </c>
      <c r="E29" s="104">
        <v>50</v>
      </c>
      <c r="F29" s="100">
        <v>6802</v>
      </c>
      <c r="G29" s="108">
        <f t="shared" si="2"/>
        <v>6852</v>
      </c>
      <c r="I29" s="103" t="e">
        <f>'Compare Early with ''17 &amp; ''20'!I29</f>
        <v>#REF!</v>
      </c>
      <c r="J29" s="100">
        <v>4719</v>
      </c>
      <c r="K29" s="283" t="e">
        <f t="shared" si="1"/>
        <v>#REF!</v>
      </c>
    </row>
    <row r="30" spans="1:16" x14ac:dyDescent="0.2">
      <c r="A30" s="104">
        <v>357</v>
      </c>
      <c r="B30" s="100">
        <v>430</v>
      </c>
      <c r="C30" s="108">
        <f t="shared" si="0"/>
        <v>787</v>
      </c>
      <c r="E30" s="104">
        <v>50</v>
      </c>
      <c r="F30" s="100">
        <v>7997</v>
      </c>
      <c r="G30" s="108">
        <f t="shared" si="2"/>
        <v>8047</v>
      </c>
      <c r="I30" s="103" t="e">
        <f>'Compare Early with ''17 &amp; ''20'!I30</f>
        <v>#REF!</v>
      </c>
      <c r="J30" s="100">
        <v>4737</v>
      </c>
      <c r="K30" s="283" t="e">
        <f t="shared" si="1"/>
        <v>#REF!</v>
      </c>
    </row>
    <row r="31" spans="1:16" x14ac:dyDescent="0.2">
      <c r="A31" s="104">
        <v>395</v>
      </c>
      <c r="B31" s="100">
        <v>455</v>
      </c>
      <c r="C31" s="108">
        <f t="shared" si="0"/>
        <v>850</v>
      </c>
      <c r="E31" s="104">
        <v>53</v>
      </c>
      <c r="F31" s="100">
        <v>8912</v>
      </c>
      <c r="G31" s="108">
        <f t="shared" si="2"/>
        <v>8965</v>
      </c>
      <c r="I31" s="103" t="e">
        <f>'Compare Early with ''17 &amp; ''20'!I31</f>
        <v>#REF!</v>
      </c>
      <c r="J31" s="100">
        <v>5417</v>
      </c>
      <c r="K31" s="283" t="e">
        <f t="shared" si="1"/>
        <v>#REF!</v>
      </c>
    </row>
    <row r="32" spans="1:16" x14ac:dyDescent="0.2">
      <c r="A32" s="104">
        <v>435</v>
      </c>
      <c r="B32" s="100">
        <v>467</v>
      </c>
      <c r="C32" s="108">
        <f t="shared" si="0"/>
        <v>902</v>
      </c>
      <c r="E32" s="104">
        <v>61</v>
      </c>
      <c r="F32" s="100">
        <v>9776</v>
      </c>
      <c r="G32" s="108">
        <f t="shared" si="2"/>
        <v>9837</v>
      </c>
      <c r="I32" s="103" t="e">
        <f>'Compare Early with ''17 &amp; ''20'!I32</f>
        <v>#REF!</v>
      </c>
      <c r="J32" s="100">
        <v>5463</v>
      </c>
      <c r="K32" s="283" t="e">
        <f t="shared" si="1"/>
        <v>#REF!</v>
      </c>
    </row>
    <row r="33" spans="1:19" x14ac:dyDescent="0.2">
      <c r="A33" s="104">
        <v>435</v>
      </c>
      <c r="B33" s="100">
        <v>467</v>
      </c>
      <c r="C33" s="108">
        <f t="shared" si="0"/>
        <v>902</v>
      </c>
      <c r="E33" s="104">
        <v>70</v>
      </c>
      <c r="F33" s="100">
        <v>9776</v>
      </c>
      <c r="G33" s="108">
        <f t="shared" si="2"/>
        <v>9846</v>
      </c>
      <c r="I33" s="103" t="e">
        <f>'Compare Early with ''17 &amp; ''20'!I33</f>
        <v>#REF!</v>
      </c>
      <c r="J33" s="100">
        <v>5463</v>
      </c>
      <c r="K33" s="283" t="e">
        <f t="shared" si="1"/>
        <v>#REF!</v>
      </c>
    </row>
    <row r="34" spans="1:19" x14ac:dyDescent="0.2">
      <c r="A34" s="104">
        <v>435</v>
      </c>
      <c r="B34" s="100">
        <v>467</v>
      </c>
      <c r="C34" s="108">
        <f t="shared" si="0"/>
        <v>902</v>
      </c>
      <c r="E34" s="104">
        <v>77</v>
      </c>
      <c r="F34" s="100">
        <v>9776</v>
      </c>
      <c r="G34" s="108">
        <f t="shared" si="2"/>
        <v>9853</v>
      </c>
      <c r="I34" s="103" t="e">
        <f>'Compare Early with ''17 &amp; ''20'!I34</f>
        <v>#REF!</v>
      </c>
      <c r="J34" s="100">
        <v>5463</v>
      </c>
      <c r="K34" s="283" t="e">
        <f t="shared" si="1"/>
        <v>#REF!</v>
      </c>
    </row>
    <row r="35" spans="1:19" x14ac:dyDescent="0.2">
      <c r="A35" s="104">
        <v>435</v>
      </c>
      <c r="B35" s="100">
        <v>467</v>
      </c>
      <c r="C35" s="108">
        <f t="shared" si="0"/>
        <v>902</v>
      </c>
      <c r="E35" s="104">
        <v>84</v>
      </c>
      <c r="F35" s="100">
        <v>12468</v>
      </c>
      <c r="G35" s="108">
        <f t="shared" si="2"/>
        <v>12552</v>
      </c>
      <c r="I35" s="103" t="e">
        <f>'Compare Early with ''17 &amp; ''20'!I35</f>
        <v>#REF!</v>
      </c>
      <c r="J35" s="100">
        <v>6199</v>
      </c>
      <c r="K35" s="283" t="e">
        <f t="shared" si="1"/>
        <v>#REF!</v>
      </c>
    </row>
    <row r="36" spans="1:19" x14ac:dyDescent="0.2">
      <c r="A36" s="104">
        <v>485</v>
      </c>
      <c r="B36" s="100">
        <v>606</v>
      </c>
      <c r="C36" s="108">
        <f t="shared" si="0"/>
        <v>1091</v>
      </c>
      <c r="E36" s="104">
        <v>84</v>
      </c>
      <c r="F36" s="100">
        <v>12547</v>
      </c>
      <c r="G36" s="108">
        <f t="shared" si="2"/>
        <v>12631</v>
      </c>
      <c r="I36" s="103" t="e">
        <f>'Compare Early with ''17 &amp; ''20'!I36</f>
        <v>#REF!</v>
      </c>
      <c r="J36" s="100">
        <v>6214</v>
      </c>
      <c r="K36" s="283" t="e">
        <f t="shared" si="1"/>
        <v>#REF!</v>
      </c>
    </row>
    <row r="37" spans="1:19" x14ac:dyDescent="0.2">
      <c r="A37" s="104">
        <v>560</v>
      </c>
      <c r="B37" s="100">
        <v>616</v>
      </c>
      <c r="C37" s="108">
        <f t="shared" si="0"/>
        <v>1176</v>
      </c>
      <c r="E37" s="104">
        <v>84</v>
      </c>
      <c r="F37" s="100">
        <v>14292</v>
      </c>
      <c r="G37" s="108">
        <f t="shared" si="2"/>
        <v>14376</v>
      </c>
      <c r="I37" s="103" t="e">
        <f>'Compare Early with ''17 &amp; ''20'!I37</f>
        <v>#REF!</v>
      </c>
      <c r="J37" s="100">
        <v>6245</v>
      </c>
      <c r="K37" s="283" t="e">
        <f t="shared" si="1"/>
        <v>#REF!</v>
      </c>
    </row>
    <row r="38" spans="1:19" x14ac:dyDescent="0.2">
      <c r="A38" s="104">
        <v>624</v>
      </c>
      <c r="B38" s="100">
        <v>724</v>
      </c>
      <c r="C38" s="108">
        <f t="shared" si="0"/>
        <v>1348</v>
      </c>
      <c r="E38" s="104">
        <v>96</v>
      </c>
      <c r="F38" s="100">
        <v>15378</v>
      </c>
      <c r="G38" s="108">
        <f t="shared" si="2"/>
        <v>15474</v>
      </c>
      <c r="I38" s="103" t="e">
        <f>'Compare Early with ''17 &amp; ''20'!I38</f>
        <v>#REF!</v>
      </c>
      <c r="J38" s="100">
        <v>6941</v>
      </c>
      <c r="K38" s="283" t="e">
        <f t="shared" si="1"/>
        <v>#REF!</v>
      </c>
    </row>
    <row r="39" spans="1:19" x14ac:dyDescent="0.2">
      <c r="A39" s="104">
        <v>682</v>
      </c>
      <c r="B39" s="100">
        <v>784</v>
      </c>
      <c r="C39" s="108">
        <f t="shared" si="0"/>
        <v>1466</v>
      </c>
      <c r="E39" s="104">
        <v>100</v>
      </c>
      <c r="F39" s="100">
        <v>16511</v>
      </c>
      <c r="G39" s="108">
        <f t="shared" si="2"/>
        <v>16611</v>
      </c>
      <c r="I39" s="103" t="e">
        <f>'Compare Early with ''17 &amp; ''20'!I39</f>
        <v>#REF!</v>
      </c>
      <c r="J39" s="100">
        <v>6977</v>
      </c>
      <c r="K39" s="283" t="e">
        <f t="shared" si="1"/>
        <v>#REF!</v>
      </c>
    </row>
    <row r="40" spans="1:19" x14ac:dyDescent="0.2">
      <c r="A40" s="104">
        <v>812</v>
      </c>
      <c r="B40" s="100">
        <v>789</v>
      </c>
      <c r="C40" s="108">
        <f t="shared" si="0"/>
        <v>1601</v>
      </c>
      <c r="E40" s="104">
        <v>113</v>
      </c>
      <c r="F40" s="100">
        <v>16511</v>
      </c>
      <c r="G40" s="108">
        <f t="shared" si="2"/>
        <v>16624</v>
      </c>
      <c r="I40" s="103" t="e">
        <f>'Compare Early with ''17 &amp; ''20'!I40</f>
        <v>#REF!</v>
      </c>
      <c r="J40" s="100">
        <v>7098</v>
      </c>
      <c r="K40" s="283" t="e">
        <f t="shared" si="1"/>
        <v>#REF!</v>
      </c>
    </row>
    <row r="41" spans="1:19" x14ac:dyDescent="0.2">
      <c r="A41" s="104">
        <v>812</v>
      </c>
      <c r="B41" s="100">
        <v>789</v>
      </c>
      <c r="C41" s="108">
        <f t="shared" si="0"/>
        <v>1601</v>
      </c>
      <c r="E41" s="104">
        <v>119</v>
      </c>
      <c r="F41" s="100">
        <v>16511</v>
      </c>
      <c r="G41" s="108">
        <f t="shared" si="2"/>
        <v>16630</v>
      </c>
      <c r="I41" s="103" t="e">
        <f>'Compare Early with ''17 &amp; ''20'!I41</f>
        <v>#REF!</v>
      </c>
      <c r="J41" s="100">
        <v>7098</v>
      </c>
      <c r="K41" s="283" t="e">
        <f t="shared" si="1"/>
        <v>#REF!</v>
      </c>
    </row>
    <row r="42" spans="1:19" x14ac:dyDescent="0.2">
      <c r="A42" s="104">
        <v>924</v>
      </c>
      <c r="B42" s="100">
        <v>879</v>
      </c>
      <c r="C42" s="108">
        <f t="shared" si="0"/>
        <v>1803</v>
      </c>
      <c r="E42" s="104">
        <v>144</v>
      </c>
      <c r="F42" s="100">
        <v>19359</v>
      </c>
      <c r="G42" s="108">
        <f t="shared" si="2"/>
        <v>19503</v>
      </c>
      <c r="I42" s="103" t="e">
        <f>'Compare Early with ''17 &amp; ''20'!I42</f>
        <v>#REF!</v>
      </c>
      <c r="J42" s="100">
        <v>7098</v>
      </c>
      <c r="K42" s="283" t="e">
        <f t="shared" si="1"/>
        <v>#REF!</v>
      </c>
    </row>
    <row r="43" spans="1:19" x14ac:dyDescent="0.2">
      <c r="A43" s="104">
        <v>1038</v>
      </c>
      <c r="B43" s="100">
        <v>1029</v>
      </c>
      <c r="C43" s="108">
        <f t="shared" si="0"/>
        <v>2067</v>
      </c>
      <c r="E43" s="104">
        <v>150</v>
      </c>
      <c r="F43" s="100">
        <v>19435</v>
      </c>
      <c r="G43" s="108">
        <f t="shared" si="2"/>
        <v>19585</v>
      </c>
      <c r="I43" s="103" t="e">
        <f>'Compare Early with ''17 &amp; ''20'!I43</f>
        <v>#REF!</v>
      </c>
      <c r="J43" s="100" t="e">
        <f>'Compare Return'!R43</f>
        <v>#REF!</v>
      </c>
      <c r="K43" s="283" t="e">
        <f t="shared" si="1"/>
        <v>#REF!</v>
      </c>
      <c r="O43" s="273"/>
    </row>
    <row r="44" spans="1:19" x14ac:dyDescent="0.2">
      <c r="A44" s="104">
        <v>1187</v>
      </c>
      <c r="B44" s="100">
        <v>1131</v>
      </c>
      <c r="C44" s="108">
        <f t="shared" si="0"/>
        <v>2318</v>
      </c>
      <c r="E44" s="104">
        <v>150</v>
      </c>
      <c r="F44" s="100">
        <v>21165</v>
      </c>
      <c r="G44" s="108">
        <f t="shared" si="2"/>
        <v>21315</v>
      </c>
      <c r="I44" s="103" t="e">
        <f>'Compare Early with ''17 &amp; ''20'!I44</f>
        <v>#REF!</v>
      </c>
      <c r="J44" s="100" t="e">
        <f>'Compare Return'!R44</f>
        <v>#REF!</v>
      </c>
      <c r="K44" s="283" t="e">
        <f>SUM(I44:J44)</f>
        <v>#REF!</v>
      </c>
    </row>
    <row r="45" spans="1:19" x14ac:dyDescent="0.2">
      <c r="A45" s="104">
        <v>1312</v>
      </c>
      <c r="B45" s="100">
        <v>1237</v>
      </c>
      <c r="C45" s="108">
        <f t="shared" si="0"/>
        <v>2549</v>
      </c>
      <c r="E45" s="104">
        <v>169</v>
      </c>
      <c r="F45" s="100">
        <v>22301</v>
      </c>
      <c r="G45" s="108">
        <f t="shared" si="2"/>
        <v>22470</v>
      </c>
      <c r="I45" s="103" t="e">
        <f>'Compare Early with ''17 &amp; ''20'!I45</f>
        <v>#REF!</v>
      </c>
      <c r="J45" s="100" t="e">
        <f>'Compare Return'!R45</f>
        <v>#REF!</v>
      </c>
      <c r="K45" s="283" t="e">
        <f>SUM(I45:J45)</f>
        <v>#REF!</v>
      </c>
      <c r="S45" s="41" t="s">
        <v>87</v>
      </c>
    </row>
    <row r="46" spans="1:19" x14ac:dyDescent="0.2">
      <c r="A46" s="284">
        <v>1440</v>
      </c>
      <c r="B46" s="285">
        <v>1325</v>
      </c>
      <c r="C46" s="287">
        <f t="shared" si="0"/>
        <v>2765</v>
      </c>
      <c r="E46" s="104">
        <v>200</v>
      </c>
      <c r="F46" s="100">
        <v>23381</v>
      </c>
      <c r="G46" s="108">
        <f t="shared" si="2"/>
        <v>23581</v>
      </c>
      <c r="I46" s="286" t="e">
        <f>'Compare Early with ''17 &amp; ''20'!I46</f>
        <v>#REF!</v>
      </c>
      <c r="J46" s="100" t="e">
        <f>'Compare Return'!R46</f>
        <v>#REF!</v>
      </c>
      <c r="K46" s="283" t="e">
        <f>SUM(I46:J46)</f>
        <v>#REF!</v>
      </c>
    </row>
    <row r="47" spans="1:19" x14ac:dyDescent="0.2">
      <c r="A47" s="289">
        <v>3121</v>
      </c>
      <c r="B47" s="290">
        <v>1454</v>
      </c>
      <c r="C47" s="291">
        <f t="shared" si="0"/>
        <v>4575</v>
      </c>
      <c r="D47" s="292"/>
      <c r="E47" s="104">
        <v>227</v>
      </c>
      <c r="F47" s="100">
        <v>24493</v>
      </c>
      <c r="G47" s="108">
        <f t="shared" si="2"/>
        <v>24720</v>
      </c>
      <c r="H47" s="292"/>
      <c r="I47" s="286" t="e">
        <f>Summary!#REF!</f>
        <v>#REF!</v>
      </c>
      <c r="J47" s="100" t="e">
        <f>'Compare Return'!R47</f>
        <v>#REF!</v>
      </c>
      <c r="K47" s="283" t="e">
        <f>SUM(I47:J47)</f>
        <v>#REF!</v>
      </c>
    </row>
    <row r="48" spans="1:19" x14ac:dyDescent="0.2">
      <c r="A48" s="286">
        <f>A47</f>
        <v>3121</v>
      </c>
      <c r="B48" s="288">
        <v>1454</v>
      </c>
      <c r="C48" s="291">
        <f t="shared" si="0"/>
        <v>4575</v>
      </c>
      <c r="D48" s="295"/>
      <c r="E48" s="104">
        <v>248</v>
      </c>
      <c r="F48" s="100">
        <v>24493</v>
      </c>
      <c r="G48" s="108">
        <f t="shared" si="2"/>
        <v>24741</v>
      </c>
      <c r="H48" s="295"/>
      <c r="I48" s="286" t="e">
        <f>'Compare Early with ''17 &amp; ''20'!I47</f>
        <v>#REF!</v>
      </c>
      <c r="J48" s="100" t="e">
        <f>'Compare Return'!R48</f>
        <v>#REF!</v>
      </c>
      <c r="K48" s="283" t="e">
        <f t="shared" ref="K48:K53" si="3">SUM(I48:J48)</f>
        <v>#REF!</v>
      </c>
      <c r="N48" s="273" t="e">
        <f>J53/F50</f>
        <v>#REF!</v>
      </c>
    </row>
    <row r="49" spans="1:14" x14ac:dyDescent="0.2">
      <c r="A49" s="104">
        <f>A48</f>
        <v>3121</v>
      </c>
      <c r="B49" s="100">
        <v>1503</v>
      </c>
      <c r="C49" s="291">
        <f t="shared" si="0"/>
        <v>4624</v>
      </c>
      <c r="D49" s="295"/>
      <c r="E49" s="284">
        <v>278</v>
      </c>
      <c r="F49" s="285">
        <v>27201</v>
      </c>
      <c r="G49" s="287">
        <f t="shared" si="2"/>
        <v>27479</v>
      </c>
      <c r="H49" s="295"/>
      <c r="I49" s="297" t="e">
        <f>'Compare Early with ''17 &amp; ''20'!I47</f>
        <v>#REF!</v>
      </c>
      <c r="J49" s="100" t="e">
        <f>'Compare Return'!R49</f>
        <v>#REF!</v>
      </c>
      <c r="K49" s="283" t="e">
        <f t="shared" si="3"/>
        <v>#REF!</v>
      </c>
    </row>
    <row r="50" spans="1:14" x14ac:dyDescent="0.2">
      <c r="A50" s="118">
        <f>A49</f>
        <v>3121</v>
      </c>
      <c r="B50" s="135">
        <v>1750</v>
      </c>
      <c r="C50" s="291">
        <f>SUM(A50:B50)</f>
        <v>4871</v>
      </c>
      <c r="D50" s="295"/>
      <c r="E50" s="293">
        <v>315</v>
      </c>
      <c r="F50" s="294">
        <v>29531</v>
      </c>
      <c r="G50" s="291">
        <f t="shared" si="2"/>
        <v>29846</v>
      </c>
      <c r="H50" s="295"/>
      <c r="I50" s="297" t="e">
        <f>#REF!</f>
        <v>#REF!</v>
      </c>
      <c r="J50" s="100" t="e">
        <f>'Compare Return'!R50</f>
        <v>#REF!</v>
      </c>
      <c r="K50" s="283" t="e">
        <f t="shared" si="3"/>
        <v>#REF!</v>
      </c>
      <c r="N50" s="341"/>
    </row>
    <row r="51" spans="1:14" x14ac:dyDescent="0.2">
      <c r="A51" s="284"/>
      <c r="B51" s="285"/>
      <c r="C51" s="291"/>
      <c r="D51" s="295"/>
      <c r="E51" s="322"/>
      <c r="F51" s="323"/>
      <c r="G51" s="324"/>
      <c r="H51" s="295"/>
      <c r="I51" s="297" t="e">
        <f>#REF!</f>
        <v>#REF!</v>
      </c>
      <c r="J51" s="100" t="e">
        <f>'Compare Return'!R51</f>
        <v>#REF!</v>
      </c>
      <c r="K51" s="283" t="e">
        <f t="shared" si="3"/>
        <v>#REF!</v>
      </c>
      <c r="N51" s="341"/>
    </row>
    <row r="52" spans="1:14" x14ac:dyDescent="0.2">
      <c r="A52" s="284"/>
      <c r="B52" s="285"/>
      <c r="C52" s="291"/>
      <c r="D52" s="295"/>
      <c r="E52" s="322"/>
      <c r="F52" s="323"/>
      <c r="G52" s="324"/>
      <c r="H52" s="295"/>
      <c r="I52" s="296">
        <v>10924</v>
      </c>
      <c r="J52" s="100" t="e">
        <f>'Compare Return'!R52</f>
        <v>#REF!</v>
      </c>
      <c r="K52" s="283" t="e">
        <f t="shared" si="3"/>
        <v>#REF!</v>
      </c>
      <c r="N52" s="342" t="e">
        <f>J53/F50</f>
        <v>#REF!</v>
      </c>
    </row>
    <row r="53" spans="1:14" x14ac:dyDescent="0.2">
      <c r="D53" s="295"/>
      <c r="E53" s="298"/>
      <c r="F53" s="299"/>
      <c r="G53" s="300"/>
      <c r="H53" s="295"/>
      <c r="I53" s="330">
        <v>10924</v>
      </c>
      <c r="J53" s="135" t="e">
        <f>'Compare Return'!R53</f>
        <v>#REF!</v>
      </c>
      <c r="K53" s="331" t="e">
        <f t="shared" si="3"/>
        <v>#REF!</v>
      </c>
      <c r="N53" s="341"/>
    </row>
    <row r="54" spans="1:14" x14ac:dyDescent="0.2">
      <c r="A54" s="148">
        <f>A47/C47</f>
        <v>0.68218579234972676</v>
      </c>
      <c r="B54" s="148">
        <f>B47/C47</f>
        <v>0.31781420765027324</v>
      </c>
      <c r="C54" s="148"/>
      <c r="D54" s="148"/>
      <c r="E54" s="148">
        <f>E50/G50</f>
        <v>1.0554178114320177E-2</v>
      </c>
      <c r="F54" s="148">
        <f>F50/G50</f>
        <v>0.98944582188567987</v>
      </c>
      <c r="I54" s="273" t="e">
        <f>I52/K52</f>
        <v>#REF!</v>
      </c>
      <c r="J54" s="273" t="e">
        <f>J52/K52</f>
        <v>#REF!</v>
      </c>
      <c r="M54" s="325"/>
      <c r="N54" s="341" t="e">
        <f>F50-J53</f>
        <v>#REF!</v>
      </c>
    </row>
    <row r="55" spans="1:14" x14ac:dyDescent="0.2">
      <c r="A55" s="301" t="s">
        <v>85</v>
      </c>
      <c r="B55" s="301" t="s">
        <v>86</v>
      </c>
      <c r="C55" s="301"/>
      <c r="D55" s="301"/>
      <c r="E55" s="301" t="s">
        <v>85</v>
      </c>
      <c r="F55" s="301" t="s">
        <v>86</v>
      </c>
      <c r="G55" s="301"/>
      <c r="H55" s="301"/>
      <c r="I55" s="301" t="s">
        <v>85</v>
      </c>
      <c r="J55" s="301" t="s">
        <v>86</v>
      </c>
      <c r="N55" s="342" t="e">
        <f>N54/F50</f>
        <v>#REF!</v>
      </c>
    </row>
    <row r="56" spans="1:14" x14ac:dyDescent="0.2">
      <c r="I56" s="148"/>
      <c r="J56" s="148"/>
      <c r="K56" s="148"/>
      <c r="N56" s="41" t="e">
        <f>F50-J53</f>
        <v>#REF!</v>
      </c>
    </row>
    <row r="57" spans="1:14" x14ac:dyDescent="0.2">
      <c r="I57" s="148"/>
      <c r="J57" s="148"/>
      <c r="K57" s="148"/>
    </row>
    <row r="58" spans="1:14" x14ac:dyDescent="0.2">
      <c r="I58" s="148"/>
      <c r="J58" s="148"/>
      <c r="K58" s="148"/>
    </row>
    <row r="59" spans="1:14" x14ac:dyDescent="0.2">
      <c r="I59" s="148"/>
      <c r="J59" s="148"/>
      <c r="K59" s="148"/>
    </row>
  </sheetData>
  <mergeCells count="4">
    <mergeCell ref="A2:C2"/>
    <mergeCell ref="E2:G2"/>
    <mergeCell ref="I2:K2"/>
    <mergeCell ref="A1:K1"/>
  </mergeCells>
  <pageMargins left="0.7" right="0.7" top="0.75" bottom="0.75" header="0.3" footer="0.3"/>
  <pageSetup orientation="portrait" horizontalDpi="1200" verticalDpi="12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16087-61E7-4033-99E8-F6C9D404E2AA}">
  <dimension ref="A1:AD64"/>
  <sheetViews>
    <sheetView showGridLines="0" topLeftCell="M34" workbookViewId="0">
      <selection activeCell="J53" sqref="J53"/>
    </sheetView>
  </sheetViews>
  <sheetFormatPr defaultColWidth="9" defaultRowHeight="14.25" x14ac:dyDescent="0.2"/>
  <cols>
    <col min="1" max="1" width="5.5" style="253" customWidth="1"/>
    <col min="2" max="2" width="9.375" style="41" customWidth="1"/>
    <col min="3" max="3" width="10.5" style="247" customWidth="1"/>
    <col min="4" max="5" width="10.5" style="41" customWidth="1"/>
    <col min="6" max="6" width="9" style="41" customWidth="1"/>
    <col min="7" max="7" width="10.5" style="41" customWidth="1"/>
    <col min="8" max="8" width="2" style="41" customWidth="1"/>
    <col min="9" max="12" width="9" style="41"/>
    <col min="13" max="13" width="9.5" style="41" customWidth="1"/>
    <col min="14" max="14" width="9" style="41"/>
    <col min="15" max="15" width="2" style="41" customWidth="1"/>
    <col min="16" max="20" width="9" style="41"/>
    <col min="21" max="21" width="9.5" style="41" customWidth="1"/>
    <col min="22" max="22" width="9" style="41"/>
    <col min="23" max="23" width="2.625" style="41" customWidth="1"/>
    <col min="24" max="16384" width="9" style="41"/>
  </cols>
  <sheetData>
    <row r="1" spans="1:29" ht="37.5" customHeight="1" x14ac:dyDescent="0.3">
      <c r="A1" s="611" t="s">
        <v>66</v>
      </c>
      <c r="B1" s="611"/>
      <c r="C1" s="611"/>
      <c r="D1" s="611"/>
      <c r="E1" s="611"/>
      <c r="F1" s="611"/>
      <c r="G1" s="611"/>
      <c r="H1" s="611"/>
      <c r="I1" s="611"/>
      <c r="J1" s="611"/>
      <c r="K1" s="264"/>
      <c r="L1" s="264"/>
      <c r="M1" s="264"/>
    </row>
    <row r="2" spans="1:29" ht="11.25" customHeight="1" x14ac:dyDescent="0.3">
      <c r="A2" s="260"/>
      <c r="B2" s="260"/>
      <c r="C2" s="260"/>
      <c r="D2" s="260"/>
      <c r="E2" s="260"/>
      <c r="F2" s="260"/>
      <c r="G2" s="260"/>
      <c r="H2" s="260"/>
      <c r="I2" s="260"/>
      <c r="J2" s="260"/>
      <c r="K2" s="260"/>
      <c r="L2" s="260"/>
      <c r="M2" s="260"/>
    </row>
    <row r="3" spans="1:29" ht="256.5" customHeight="1" x14ac:dyDescent="0.3">
      <c r="A3" s="260"/>
      <c r="B3" s="260"/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  <c r="W3" s="275"/>
      <c r="X3" s="275"/>
      <c r="Y3" s="275"/>
      <c r="Z3" s="275"/>
      <c r="AA3" s="275"/>
      <c r="AB3" s="275"/>
      <c r="AC3" s="275"/>
    </row>
    <row r="4" spans="1:29" x14ac:dyDescent="0.2">
      <c r="W4" s="275"/>
      <c r="X4" s="275"/>
      <c r="Y4" s="275"/>
      <c r="Z4" s="275"/>
      <c r="AA4" s="275"/>
      <c r="AB4" s="275"/>
      <c r="AC4" s="275"/>
    </row>
    <row r="5" spans="1:29" ht="23.25" customHeight="1" x14ac:dyDescent="0.25">
      <c r="B5" s="610" t="s">
        <v>81</v>
      </c>
      <c r="C5" s="610"/>
      <c r="D5" s="610"/>
      <c r="E5" s="610"/>
      <c r="F5" s="610"/>
      <c r="G5" s="610"/>
      <c r="H5" s="263"/>
      <c r="I5" s="610" t="s">
        <v>79</v>
      </c>
      <c r="J5" s="610"/>
      <c r="K5" s="610"/>
      <c r="L5" s="610"/>
      <c r="M5" s="610"/>
      <c r="N5" s="610"/>
      <c r="O5" s="263"/>
      <c r="P5" s="610" t="s">
        <v>73</v>
      </c>
      <c r="Q5" s="610"/>
      <c r="R5" s="610"/>
      <c r="S5" s="610"/>
      <c r="T5" s="610"/>
      <c r="U5" s="610"/>
      <c r="V5" s="610"/>
      <c r="W5" s="275"/>
      <c r="X5" s="612"/>
      <c r="Y5" s="612"/>
      <c r="Z5" s="612"/>
      <c r="AA5" s="612"/>
      <c r="AB5" s="612"/>
      <c r="AC5" s="612"/>
    </row>
    <row r="6" spans="1:29" s="252" customFormat="1" ht="90" x14ac:dyDescent="0.25">
      <c r="A6" s="254"/>
      <c r="B6" s="267" t="s">
        <v>67</v>
      </c>
      <c r="C6" s="250" t="s">
        <v>69</v>
      </c>
      <c r="D6" s="255" t="s">
        <v>70</v>
      </c>
      <c r="E6" s="255" t="s">
        <v>71</v>
      </c>
      <c r="F6" s="269" t="s">
        <v>82</v>
      </c>
      <c r="G6" s="255" t="s">
        <v>83</v>
      </c>
      <c r="H6" s="261"/>
      <c r="I6" s="255" t="s">
        <v>67</v>
      </c>
      <c r="J6" s="255" t="s">
        <v>69</v>
      </c>
      <c r="K6" s="255" t="s">
        <v>84</v>
      </c>
      <c r="L6" s="255" t="s">
        <v>71</v>
      </c>
      <c r="M6" s="269" t="s">
        <v>74</v>
      </c>
      <c r="N6" s="255" t="s">
        <v>75</v>
      </c>
      <c r="O6" s="265"/>
      <c r="P6" s="255" t="s">
        <v>77</v>
      </c>
      <c r="Q6" s="255" t="s">
        <v>78</v>
      </c>
      <c r="R6" s="255" t="s">
        <v>72</v>
      </c>
      <c r="S6" s="255" t="s">
        <v>84</v>
      </c>
      <c r="T6" s="255" t="s">
        <v>71</v>
      </c>
      <c r="U6" s="269" t="s">
        <v>76</v>
      </c>
      <c r="V6" s="332" t="s">
        <v>89</v>
      </c>
      <c r="W6" s="276"/>
      <c r="X6" s="277"/>
      <c r="Y6" s="277"/>
      <c r="Z6" s="277"/>
      <c r="AA6" s="277"/>
      <c r="AB6" s="277"/>
      <c r="AC6" s="277"/>
    </row>
    <row r="7" spans="1:29" x14ac:dyDescent="0.2">
      <c r="A7" s="253">
        <v>1</v>
      </c>
      <c r="B7" s="256">
        <v>0</v>
      </c>
      <c r="C7" s="248">
        <v>0</v>
      </c>
      <c r="D7" s="256">
        <v>2248</v>
      </c>
      <c r="E7" s="256">
        <f>D7</f>
        <v>2248</v>
      </c>
      <c r="F7" s="270">
        <v>0</v>
      </c>
      <c r="G7" s="257">
        <v>0</v>
      </c>
      <c r="H7" s="262"/>
      <c r="I7" s="256">
        <v>2</v>
      </c>
      <c r="J7" s="256">
        <f>I7</f>
        <v>2</v>
      </c>
      <c r="K7" s="256">
        <v>5596</v>
      </c>
      <c r="L7" s="256">
        <f>K7</f>
        <v>5596</v>
      </c>
      <c r="M7" s="270">
        <f>J7/L7</f>
        <v>3.5739814152966406E-4</v>
      </c>
      <c r="N7" s="257">
        <f t="shared" ref="N7:N53" si="0">J7/$I$54</f>
        <v>6.772544106193492E-5</v>
      </c>
      <c r="O7" s="262"/>
      <c r="P7" s="256">
        <v>2</v>
      </c>
      <c r="Q7" s="256">
        <v>2</v>
      </c>
      <c r="R7" s="256">
        <f>SUM(P7:Q7)</f>
        <v>4</v>
      </c>
      <c r="S7" s="256">
        <v>11151</v>
      </c>
      <c r="T7" s="256">
        <f>S7</f>
        <v>11151</v>
      </c>
      <c r="U7" s="270">
        <f>R7/T7</f>
        <v>3.5871222311900278E-4</v>
      </c>
      <c r="V7" s="257" t="e">
        <f>R7/$R$53</f>
        <v>#REF!</v>
      </c>
      <c r="W7" s="275"/>
      <c r="X7" s="278"/>
      <c r="Y7" s="278"/>
      <c r="Z7" s="278"/>
      <c r="AA7" s="278"/>
      <c r="AB7" s="279"/>
      <c r="AC7" s="279"/>
    </row>
    <row r="8" spans="1:29" x14ac:dyDescent="0.2">
      <c r="A8" s="253">
        <v>2</v>
      </c>
      <c r="B8" s="256">
        <v>0</v>
      </c>
      <c r="C8" s="249">
        <v>0</v>
      </c>
      <c r="D8" s="256">
        <v>0</v>
      </c>
      <c r="E8" s="256">
        <f>E7+D8</f>
        <v>2248</v>
      </c>
      <c r="F8" s="270">
        <v>0</v>
      </c>
      <c r="G8" s="257">
        <v>0</v>
      </c>
      <c r="H8" s="262"/>
      <c r="I8" s="256">
        <v>0</v>
      </c>
      <c r="J8" s="256">
        <f>J7+I8</f>
        <v>2</v>
      </c>
      <c r="K8" s="256">
        <v>537</v>
      </c>
      <c r="L8" s="256">
        <f>L7+K8</f>
        <v>6133</v>
      </c>
      <c r="M8" s="270">
        <f t="shared" ref="M8:M9" si="1">J8/L8</f>
        <v>3.261046796021523E-4</v>
      </c>
      <c r="N8" s="257">
        <f t="shared" si="0"/>
        <v>6.772544106193492E-5</v>
      </c>
      <c r="O8" s="262"/>
      <c r="P8" s="256">
        <v>11</v>
      </c>
      <c r="Q8" s="256">
        <v>13</v>
      </c>
      <c r="R8" s="256">
        <f>SUM(P8:Q8,R7)</f>
        <v>28</v>
      </c>
      <c r="S8" s="256">
        <v>872</v>
      </c>
      <c r="T8" s="256">
        <f>T7+S8</f>
        <v>12023</v>
      </c>
      <c r="U8" s="270">
        <f t="shared" ref="U8:U37" si="2">R8/T8</f>
        <v>2.328869666472594E-3</v>
      </c>
      <c r="V8" s="257" t="e">
        <f t="shared" ref="V8:V53" si="3">R8/$R$53</f>
        <v>#REF!</v>
      </c>
      <c r="W8" s="275"/>
      <c r="X8" s="278"/>
      <c r="Y8" s="278"/>
      <c r="Z8" s="278"/>
      <c r="AA8" s="278"/>
      <c r="AB8" s="279"/>
      <c r="AC8" s="279"/>
    </row>
    <row r="9" spans="1:29" x14ac:dyDescent="0.2">
      <c r="A9" s="253">
        <v>3</v>
      </c>
      <c r="B9" s="256">
        <v>0</v>
      </c>
      <c r="C9" s="249">
        <v>0</v>
      </c>
      <c r="D9" s="256">
        <v>0</v>
      </c>
      <c r="E9" s="256">
        <f t="shared" ref="E9:E46" si="4">E8+D9</f>
        <v>2248</v>
      </c>
      <c r="F9" s="270">
        <v>0</v>
      </c>
      <c r="G9" s="257">
        <v>0</v>
      </c>
      <c r="H9" s="262"/>
      <c r="I9" s="256">
        <v>141</v>
      </c>
      <c r="J9" s="256">
        <f t="shared" ref="J9:J53" si="5">J8+I9</f>
        <v>143</v>
      </c>
      <c r="K9" s="256">
        <v>761</v>
      </c>
      <c r="L9" s="256">
        <f t="shared" ref="L9:L53" si="6">L8+K9</f>
        <v>6894</v>
      </c>
      <c r="M9" s="270">
        <f t="shared" si="1"/>
        <v>2.0742674789672177E-2</v>
      </c>
      <c r="N9" s="257">
        <f t="shared" si="0"/>
        <v>4.8423690359283462E-3</v>
      </c>
      <c r="O9" s="262"/>
      <c r="P9" s="256">
        <v>6</v>
      </c>
      <c r="Q9" s="256">
        <v>10</v>
      </c>
      <c r="R9" s="256">
        <f t="shared" ref="R9:R37" si="7">SUM(P9:Q9,R8)</f>
        <v>44</v>
      </c>
      <c r="S9" s="256">
        <v>373</v>
      </c>
      <c r="T9" s="256">
        <f t="shared" ref="T9:T37" si="8">T8+S9</f>
        <v>12396</v>
      </c>
      <c r="U9" s="270">
        <f t="shared" si="2"/>
        <v>3.5495321071313327E-3</v>
      </c>
      <c r="V9" s="257" t="e">
        <f t="shared" si="3"/>
        <v>#REF!</v>
      </c>
      <c r="W9" s="275"/>
      <c r="X9" s="278"/>
      <c r="Y9" s="278"/>
      <c r="Z9" s="278"/>
      <c r="AA9" s="278"/>
      <c r="AB9" s="279"/>
      <c r="AC9" s="279"/>
    </row>
    <row r="10" spans="1:29" x14ac:dyDescent="0.2">
      <c r="A10" s="253">
        <v>4</v>
      </c>
      <c r="B10" s="256">
        <v>0</v>
      </c>
      <c r="C10" s="249">
        <v>0</v>
      </c>
      <c r="D10" s="256">
        <v>0</v>
      </c>
      <c r="E10" s="256">
        <f t="shared" si="4"/>
        <v>2248</v>
      </c>
      <c r="F10" s="270">
        <v>0</v>
      </c>
      <c r="G10" s="257">
        <v>0</v>
      </c>
      <c r="H10" s="262"/>
      <c r="I10" s="256">
        <v>184</v>
      </c>
      <c r="J10" s="256">
        <f t="shared" si="5"/>
        <v>327</v>
      </c>
      <c r="K10" s="256">
        <v>645</v>
      </c>
      <c r="L10" s="256">
        <f t="shared" si="6"/>
        <v>7539</v>
      </c>
      <c r="M10" s="270">
        <f>J10/L10</f>
        <v>4.3374452845204935E-2</v>
      </c>
      <c r="N10" s="257">
        <f t="shared" si="0"/>
        <v>1.1073109613626359E-2</v>
      </c>
      <c r="O10" s="262"/>
      <c r="P10" s="256">
        <v>842</v>
      </c>
      <c r="Q10" s="256">
        <v>4</v>
      </c>
      <c r="R10" s="256">
        <f t="shared" si="7"/>
        <v>890</v>
      </c>
      <c r="S10" s="256">
        <v>268</v>
      </c>
      <c r="T10" s="256">
        <f t="shared" si="8"/>
        <v>12664</v>
      </c>
      <c r="U10" s="270">
        <f t="shared" si="2"/>
        <v>7.0277953253316483E-2</v>
      </c>
      <c r="V10" s="257" t="e">
        <f t="shared" si="3"/>
        <v>#REF!</v>
      </c>
      <c r="W10" s="275"/>
      <c r="X10" s="278"/>
      <c r="Y10" s="278"/>
      <c r="Z10" s="278"/>
      <c r="AA10" s="278"/>
      <c r="AB10" s="279"/>
      <c r="AC10" s="279"/>
    </row>
    <row r="11" spans="1:29" x14ac:dyDescent="0.2">
      <c r="A11" s="253">
        <v>5</v>
      </c>
      <c r="B11" s="256">
        <v>4</v>
      </c>
      <c r="C11" s="249">
        <f>B11</f>
        <v>4</v>
      </c>
      <c r="D11" s="256">
        <v>66</v>
      </c>
      <c r="E11" s="256">
        <f t="shared" si="4"/>
        <v>2314</v>
      </c>
      <c r="F11" s="270">
        <f>C11/E11</f>
        <v>1.7286084701815039E-3</v>
      </c>
      <c r="G11" s="257">
        <v>0</v>
      </c>
      <c r="H11" s="262"/>
      <c r="I11" s="256">
        <v>156</v>
      </c>
      <c r="J11" s="256">
        <f t="shared" si="5"/>
        <v>483</v>
      </c>
      <c r="K11" s="256">
        <v>1244</v>
      </c>
      <c r="L11" s="256">
        <f t="shared" si="6"/>
        <v>8783</v>
      </c>
      <c r="M11" s="270">
        <f t="shared" ref="M11:M53" si="9">J11/L11</f>
        <v>5.499259933963338E-2</v>
      </c>
      <c r="N11" s="257">
        <f t="shared" si="0"/>
        <v>1.635569401645728E-2</v>
      </c>
      <c r="O11" s="262"/>
      <c r="P11" s="256">
        <v>269</v>
      </c>
      <c r="Q11" s="256">
        <v>13</v>
      </c>
      <c r="R11" s="256">
        <f t="shared" si="7"/>
        <v>1172</v>
      </c>
      <c r="S11" s="256">
        <v>295</v>
      </c>
      <c r="T11" s="256">
        <f t="shared" si="8"/>
        <v>12959</v>
      </c>
      <c r="U11" s="270">
        <f t="shared" si="2"/>
        <v>9.0439077089281575E-2</v>
      </c>
      <c r="V11" s="257" t="e">
        <f t="shared" si="3"/>
        <v>#REF!</v>
      </c>
      <c r="W11" s="275"/>
      <c r="X11" s="278"/>
      <c r="Y11" s="278"/>
      <c r="Z11" s="278"/>
      <c r="AA11" s="278"/>
      <c r="AB11" s="279"/>
      <c r="AC11" s="279"/>
    </row>
    <row r="12" spans="1:29" x14ac:dyDescent="0.2">
      <c r="A12" s="253">
        <v>6</v>
      </c>
      <c r="B12" s="256">
        <v>4</v>
      </c>
      <c r="C12" s="249">
        <f>C11+B12</f>
        <v>8</v>
      </c>
      <c r="D12" s="256">
        <v>29</v>
      </c>
      <c r="E12" s="256">
        <f t="shared" si="4"/>
        <v>2343</v>
      </c>
      <c r="F12" s="270">
        <f>C12/E12</f>
        <v>3.4144259496372174E-3</v>
      </c>
      <c r="G12" s="257">
        <v>0</v>
      </c>
      <c r="H12" s="262"/>
      <c r="I12" s="256">
        <v>0</v>
      </c>
      <c r="J12" s="256">
        <f t="shared" si="5"/>
        <v>483</v>
      </c>
      <c r="K12" s="256">
        <v>0</v>
      </c>
      <c r="L12" s="256">
        <f t="shared" si="6"/>
        <v>8783</v>
      </c>
      <c r="M12" s="270">
        <f t="shared" si="9"/>
        <v>5.499259933963338E-2</v>
      </c>
      <c r="N12" s="257">
        <f t="shared" si="0"/>
        <v>1.635569401645728E-2</v>
      </c>
      <c r="O12" s="262"/>
      <c r="P12" s="256">
        <v>0</v>
      </c>
      <c r="Q12" s="256">
        <v>0</v>
      </c>
      <c r="R12" s="256">
        <f t="shared" si="7"/>
        <v>1172</v>
      </c>
      <c r="S12" s="256">
        <v>0</v>
      </c>
      <c r="T12" s="256">
        <f t="shared" si="8"/>
        <v>12959</v>
      </c>
      <c r="U12" s="270">
        <f t="shared" si="2"/>
        <v>9.0439077089281575E-2</v>
      </c>
      <c r="V12" s="257" t="e">
        <f t="shared" si="3"/>
        <v>#REF!</v>
      </c>
      <c r="W12" s="275"/>
      <c r="X12" s="278"/>
      <c r="Y12" s="278"/>
      <c r="Z12" s="278"/>
      <c r="AA12" s="278"/>
      <c r="AB12" s="279"/>
      <c r="AC12" s="279"/>
    </row>
    <row r="13" spans="1:29" x14ac:dyDescent="0.2">
      <c r="A13" s="253">
        <v>7</v>
      </c>
      <c r="B13" s="256">
        <v>4</v>
      </c>
      <c r="C13" s="249">
        <f t="shared" ref="C13:C53" si="10">C12+B13</f>
        <v>12</v>
      </c>
      <c r="D13" s="256">
        <v>6</v>
      </c>
      <c r="E13" s="256">
        <f t="shared" si="4"/>
        <v>2349</v>
      </c>
      <c r="F13" s="270">
        <f t="shared" ref="F13:F53" si="11">C13/E13</f>
        <v>5.108556832694764E-3</v>
      </c>
      <c r="G13" s="257">
        <f>C13/$D$54</f>
        <v>2.9593094944512948E-3</v>
      </c>
      <c r="H13" s="262"/>
      <c r="I13" s="256">
        <v>0</v>
      </c>
      <c r="J13" s="256">
        <f t="shared" si="5"/>
        <v>483</v>
      </c>
      <c r="K13" s="256">
        <v>0</v>
      </c>
      <c r="L13" s="256">
        <f t="shared" si="6"/>
        <v>8783</v>
      </c>
      <c r="M13" s="270">
        <f t="shared" si="9"/>
        <v>5.499259933963338E-2</v>
      </c>
      <c r="N13" s="257">
        <f t="shared" si="0"/>
        <v>1.635569401645728E-2</v>
      </c>
      <c r="O13" s="262"/>
      <c r="P13" s="256">
        <v>0</v>
      </c>
      <c r="Q13" s="256">
        <v>0</v>
      </c>
      <c r="R13" s="256">
        <f t="shared" si="7"/>
        <v>1172</v>
      </c>
      <c r="S13" s="256">
        <v>0</v>
      </c>
      <c r="T13" s="256">
        <f t="shared" si="8"/>
        <v>12959</v>
      </c>
      <c r="U13" s="270">
        <f t="shared" si="2"/>
        <v>9.0439077089281575E-2</v>
      </c>
      <c r="V13" s="257" t="e">
        <f t="shared" si="3"/>
        <v>#REF!</v>
      </c>
      <c r="W13" s="275"/>
      <c r="X13" s="278"/>
      <c r="Y13" s="278"/>
      <c r="Z13" s="278"/>
      <c r="AA13" s="278"/>
      <c r="AB13" s="279"/>
      <c r="AC13" s="279"/>
    </row>
    <row r="14" spans="1:29" x14ac:dyDescent="0.2">
      <c r="A14" s="253">
        <v>8</v>
      </c>
      <c r="B14" s="256">
        <v>10</v>
      </c>
      <c r="C14" s="249">
        <f t="shared" si="10"/>
        <v>22</v>
      </c>
      <c r="D14" s="256">
        <v>51</v>
      </c>
      <c r="E14" s="256">
        <f t="shared" si="4"/>
        <v>2400</v>
      </c>
      <c r="F14" s="270">
        <f t="shared" si="11"/>
        <v>9.1666666666666667E-3</v>
      </c>
      <c r="G14" s="257">
        <f t="shared" ref="G14:G53" si="12">C14/$B$54</f>
        <v>1.2571428571428572E-2</v>
      </c>
      <c r="H14" s="262"/>
      <c r="I14" s="256">
        <v>598</v>
      </c>
      <c r="J14" s="256">
        <f t="shared" si="5"/>
        <v>1081</v>
      </c>
      <c r="K14" s="256">
        <v>1139</v>
      </c>
      <c r="L14" s="256">
        <f t="shared" si="6"/>
        <v>9922</v>
      </c>
      <c r="M14" s="270">
        <f t="shared" si="9"/>
        <v>0.10894980850634953</v>
      </c>
      <c r="N14" s="257">
        <f t="shared" si="0"/>
        <v>3.6605600893975819E-2</v>
      </c>
      <c r="O14" s="262"/>
      <c r="P14" s="256">
        <v>627</v>
      </c>
      <c r="Q14" s="256">
        <v>14</v>
      </c>
      <c r="R14" s="256">
        <f t="shared" si="7"/>
        <v>1813</v>
      </c>
      <c r="S14" s="256">
        <v>224</v>
      </c>
      <c r="T14" s="256">
        <f t="shared" si="8"/>
        <v>13183</v>
      </c>
      <c r="U14" s="270">
        <f t="shared" si="2"/>
        <v>0.13752560115300008</v>
      </c>
      <c r="V14" s="257" t="e">
        <f t="shared" si="3"/>
        <v>#REF!</v>
      </c>
      <c r="W14" s="275"/>
      <c r="X14" s="278"/>
      <c r="Y14" s="278"/>
      <c r="Z14" s="278"/>
      <c r="AA14" s="278"/>
      <c r="AB14" s="279"/>
      <c r="AC14" s="279"/>
    </row>
    <row r="15" spans="1:29" x14ac:dyDescent="0.2">
      <c r="A15" s="253">
        <v>9</v>
      </c>
      <c r="B15" s="256">
        <v>0</v>
      </c>
      <c r="C15" s="249">
        <f t="shared" si="10"/>
        <v>22</v>
      </c>
      <c r="D15" s="256">
        <v>0</v>
      </c>
      <c r="E15" s="256">
        <f t="shared" si="4"/>
        <v>2400</v>
      </c>
      <c r="F15" s="270">
        <f t="shared" si="11"/>
        <v>9.1666666666666667E-3</v>
      </c>
      <c r="G15" s="257">
        <f t="shared" si="12"/>
        <v>1.2571428571428572E-2</v>
      </c>
      <c r="H15" s="262"/>
      <c r="I15" s="256">
        <v>70</v>
      </c>
      <c r="J15" s="256">
        <f t="shared" si="5"/>
        <v>1151</v>
      </c>
      <c r="K15" s="256">
        <v>1447</v>
      </c>
      <c r="L15" s="256">
        <f t="shared" si="6"/>
        <v>11369</v>
      </c>
      <c r="M15" s="270">
        <f t="shared" si="9"/>
        <v>0.10124021461869998</v>
      </c>
      <c r="N15" s="257">
        <f t="shared" si="0"/>
        <v>3.8975991331143545E-2</v>
      </c>
      <c r="O15" s="262"/>
      <c r="P15" s="256">
        <v>17</v>
      </c>
      <c r="Q15" s="256">
        <v>11</v>
      </c>
      <c r="R15" s="256">
        <f t="shared" si="7"/>
        <v>1841</v>
      </c>
      <c r="S15" s="256">
        <v>366</v>
      </c>
      <c r="T15" s="256">
        <f t="shared" si="8"/>
        <v>13549</v>
      </c>
      <c r="U15" s="270">
        <f t="shared" si="2"/>
        <v>0.13587718650822939</v>
      </c>
      <c r="V15" s="257" t="e">
        <f t="shared" si="3"/>
        <v>#REF!</v>
      </c>
      <c r="W15" s="275"/>
      <c r="X15" s="278"/>
      <c r="Y15" s="278"/>
      <c r="Z15" s="278"/>
      <c r="AA15" s="278"/>
      <c r="AB15" s="279"/>
      <c r="AC15" s="279"/>
    </row>
    <row r="16" spans="1:29" x14ac:dyDescent="0.2">
      <c r="A16" s="253">
        <v>10</v>
      </c>
      <c r="B16" s="256">
        <v>0</v>
      </c>
      <c r="C16" s="249">
        <f t="shared" si="10"/>
        <v>22</v>
      </c>
      <c r="D16" s="256">
        <v>0</v>
      </c>
      <c r="E16" s="256">
        <f t="shared" si="4"/>
        <v>2400</v>
      </c>
      <c r="F16" s="270">
        <f t="shared" si="11"/>
        <v>9.1666666666666667E-3</v>
      </c>
      <c r="G16" s="257">
        <f t="shared" si="12"/>
        <v>1.2571428571428572E-2</v>
      </c>
      <c r="H16" s="262"/>
      <c r="I16" s="256">
        <v>506</v>
      </c>
      <c r="J16" s="256">
        <f t="shared" si="5"/>
        <v>1657</v>
      </c>
      <c r="K16" s="256">
        <v>356</v>
      </c>
      <c r="L16" s="256">
        <f t="shared" si="6"/>
        <v>11725</v>
      </c>
      <c r="M16" s="270">
        <f t="shared" si="9"/>
        <v>0.14132196162046909</v>
      </c>
      <c r="N16" s="257">
        <f t="shared" si="0"/>
        <v>5.611052791981308E-2</v>
      </c>
      <c r="O16" s="262"/>
      <c r="P16" s="256">
        <v>11</v>
      </c>
      <c r="Q16" s="256">
        <v>4</v>
      </c>
      <c r="R16" s="256">
        <f t="shared" si="7"/>
        <v>1856</v>
      </c>
      <c r="S16" s="256">
        <v>305</v>
      </c>
      <c r="T16" s="256">
        <f t="shared" si="8"/>
        <v>13854</v>
      </c>
      <c r="U16" s="270">
        <f t="shared" si="2"/>
        <v>0.13396852894470912</v>
      </c>
      <c r="V16" s="257" t="e">
        <f t="shared" si="3"/>
        <v>#REF!</v>
      </c>
      <c r="W16" s="275"/>
      <c r="X16" s="278"/>
      <c r="Y16" s="278"/>
      <c r="Z16" s="278"/>
      <c r="AA16" s="278"/>
      <c r="AB16" s="279"/>
      <c r="AC16" s="279"/>
    </row>
    <row r="17" spans="1:29" x14ac:dyDescent="0.2">
      <c r="A17" s="253">
        <v>11</v>
      </c>
      <c r="B17" s="256">
        <v>16</v>
      </c>
      <c r="C17" s="249">
        <f t="shared" si="10"/>
        <v>38</v>
      </c>
      <c r="D17" s="256">
        <v>0</v>
      </c>
      <c r="E17" s="256">
        <f t="shared" si="4"/>
        <v>2400</v>
      </c>
      <c r="F17" s="270">
        <f t="shared" si="11"/>
        <v>1.5833333333333335E-2</v>
      </c>
      <c r="G17" s="257">
        <f t="shared" si="12"/>
        <v>2.1714285714285714E-2</v>
      </c>
      <c r="H17" s="262"/>
      <c r="I17" s="256">
        <v>321</v>
      </c>
      <c r="J17" s="256">
        <f t="shared" si="5"/>
        <v>1978</v>
      </c>
      <c r="K17" s="256">
        <v>1046</v>
      </c>
      <c r="L17" s="256">
        <f t="shared" si="6"/>
        <v>12771</v>
      </c>
      <c r="M17" s="270">
        <f t="shared" si="9"/>
        <v>0.15488215488215487</v>
      </c>
      <c r="N17" s="257">
        <f t="shared" si="0"/>
        <v>6.6980461210253625E-2</v>
      </c>
      <c r="O17" s="262"/>
      <c r="P17" s="256">
        <v>657</v>
      </c>
      <c r="Q17" s="256">
        <v>14</v>
      </c>
      <c r="R17" s="256">
        <f t="shared" si="7"/>
        <v>2527</v>
      </c>
      <c r="S17" s="256">
        <v>135</v>
      </c>
      <c r="T17" s="256">
        <f t="shared" si="8"/>
        <v>13989</v>
      </c>
      <c r="U17" s="270">
        <f t="shared" si="2"/>
        <v>0.18064193294731576</v>
      </c>
      <c r="V17" s="257" t="e">
        <f t="shared" si="3"/>
        <v>#REF!</v>
      </c>
      <c r="W17" s="275"/>
      <c r="X17" s="278"/>
      <c r="Y17" s="278"/>
      <c r="Z17" s="278"/>
      <c r="AA17" s="278"/>
      <c r="AB17" s="279"/>
      <c r="AC17" s="279"/>
    </row>
    <row r="18" spans="1:29" x14ac:dyDescent="0.2">
      <c r="A18" s="253">
        <v>12</v>
      </c>
      <c r="B18" s="256">
        <v>42</v>
      </c>
      <c r="C18" s="249">
        <f t="shared" si="10"/>
        <v>80</v>
      </c>
      <c r="D18" s="256">
        <v>95</v>
      </c>
      <c r="E18" s="256">
        <f t="shared" si="4"/>
        <v>2495</v>
      </c>
      <c r="F18" s="270">
        <f t="shared" si="11"/>
        <v>3.2064128256513023E-2</v>
      </c>
      <c r="G18" s="257">
        <f t="shared" si="12"/>
        <v>4.5714285714285714E-2</v>
      </c>
      <c r="H18" s="262"/>
      <c r="I18" s="256">
        <v>307</v>
      </c>
      <c r="J18" s="256">
        <f t="shared" si="5"/>
        <v>2285</v>
      </c>
      <c r="K18" s="256">
        <v>1907</v>
      </c>
      <c r="L18" s="256">
        <f t="shared" si="6"/>
        <v>14678</v>
      </c>
      <c r="M18" s="270">
        <f t="shared" si="9"/>
        <v>0.15567516010355634</v>
      </c>
      <c r="N18" s="257">
        <f t="shared" si="0"/>
        <v>7.7376316413260635E-2</v>
      </c>
      <c r="O18" s="262"/>
      <c r="P18" s="256">
        <v>217</v>
      </c>
      <c r="Q18" s="256">
        <v>8</v>
      </c>
      <c r="R18" s="256">
        <f t="shared" si="7"/>
        <v>2752</v>
      </c>
      <c r="S18" s="256">
        <v>139</v>
      </c>
      <c r="T18" s="256">
        <f t="shared" si="8"/>
        <v>14128</v>
      </c>
      <c r="U18" s="270">
        <f t="shared" si="2"/>
        <v>0.19479048697621745</v>
      </c>
      <c r="V18" s="257" t="e">
        <f t="shared" si="3"/>
        <v>#REF!</v>
      </c>
      <c r="W18" s="275"/>
      <c r="X18" s="278"/>
      <c r="Y18" s="278"/>
      <c r="Z18" s="278"/>
      <c r="AA18" s="278"/>
      <c r="AB18" s="279"/>
      <c r="AC18" s="279"/>
    </row>
    <row r="19" spans="1:29" x14ac:dyDescent="0.2">
      <c r="A19" s="253">
        <v>13</v>
      </c>
      <c r="B19" s="256">
        <v>41</v>
      </c>
      <c r="C19" s="249">
        <f t="shared" si="10"/>
        <v>121</v>
      </c>
      <c r="D19" s="256">
        <v>0</v>
      </c>
      <c r="E19" s="256">
        <f t="shared" si="4"/>
        <v>2495</v>
      </c>
      <c r="F19" s="270">
        <f t="shared" si="11"/>
        <v>4.8496993987975953E-2</v>
      </c>
      <c r="G19" s="257">
        <f t="shared" si="12"/>
        <v>6.9142857142857145E-2</v>
      </c>
      <c r="H19" s="262"/>
      <c r="I19" s="256">
        <v>0</v>
      </c>
      <c r="J19" s="256">
        <f t="shared" si="5"/>
        <v>2285</v>
      </c>
      <c r="K19" s="256">
        <v>0</v>
      </c>
      <c r="L19" s="256">
        <f t="shared" si="6"/>
        <v>14678</v>
      </c>
      <c r="M19" s="270">
        <f t="shared" si="9"/>
        <v>0.15567516010355634</v>
      </c>
      <c r="N19" s="257">
        <f t="shared" si="0"/>
        <v>7.7376316413260635E-2</v>
      </c>
      <c r="O19" s="262"/>
      <c r="P19" s="256">
        <v>0</v>
      </c>
      <c r="Q19" s="256">
        <v>0</v>
      </c>
      <c r="R19" s="256">
        <f t="shared" si="7"/>
        <v>2752</v>
      </c>
      <c r="S19" s="256">
        <v>0</v>
      </c>
      <c r="T19" s="256">
        <f t="shared" si="8"/>
        <v>14128</v>
      </c>
      <c r="U19" s="270">
        <f t="shared" si="2"/>
        <v>0.19479048697621745</v>
      </c>
      <c r="V19" s="257" t="e">
        <f t="shared" si="3"/>
        <v>#REF!</v>
      </c>
      <c r="W19" s="275"/>
      <c r="X19" s="278"/>
      <c r="Y19" s="278"/>
      <c r="Z19" s="278"/>
      <c r="AA19" s="278"/>
      <c r="AB19" s="279"/>
      <c r="AC19" s="279"/>
    </row>
    <row r="20" spans="1:29" x14ac:dyDescent="0.2">
      <c r="A20" s="253">
        <v>14</v>
      </c>
      <c r="B20" s="256">
        <v>16</v>
      </c>
      <c r="C20" s="249">
        <f t="shared" si="10"/>
        <v>137</v>
      </c>
      <c r="D20" s="256">
        <v>56</v>
      </c>
      <c r="E20" s="256">
        <f t="shared" si="4"/>
        <v>2551</v>
      </c>
      <c r="F20" s="270">
        <f t="shared" si="11"/>
        <v>5.3704429635437083E-2</v>
      </c>
      <c r="G20" s="257">
        <f t="shared" si="12"/>
        <v>7.8285714285714292E-2</v>
      </c>
      <c r="H20" s="262"/>
      <c r="I20" s="256">
        <v>0</v>
      </c>
      <c r="J20" s="256">
        <f t="shared" si="5"/>
        <v>2285</v>
      </c>
      <c r="K20" s="256">
        <v>0</v>
      </c>
      <c r="L20" s="256">
        <f t="shared" si="6"/>
        <v>14678</v>
      </c>
      <c r="M20" s="270">
        <f t="shared" si="9"/>
        <v>0.15567516010355634</v>
      </c>
      <c r="N20" s="257">
        <f t="shared" si="0"/>
        <v>7.7376316413260635E-2</v>
      </c>
      <c r="O20" s="262"/>
      <c r="P20" s="256">
        <v>0</v>
      </c>
      <c r="Q20" s="256">
        <v>0</v>
      </c>
      <c r="R20" s="256">
        <f t="shared" si="7"/>
        <v>2752</v>
      </c>
      <c r="S20" s="256">
        <v>0</v>
      </c>
      <c r="T20" s="256">
        <f t="shared" si="8"/>
        <v>14128</v>
      </c>
      <c r="U20" s="270">
        <f t="shared" si="2"/>
        <v>0.19479048697621745</v>
      </c>
      <c r="V20" s="257" t="e">
        <f t="shared" si="3"/>
        <v>#REF!</v>
      </c>
      <c r="W20" s="275"/>
      <c r="X20" s="278"/>
      <c r="Y20" s="278"/>
      <c r="Z20" s="278"/>
      <c r="AA20" s="278"/>
      <c r="AB20" s="279"/>
      <c r="AC20" s="279"/>
    </row>
    <row r="21" spans="1:29" x14ac:dyDescent="0.2">
      <c r="A21" s="253">
        <v>15</v>
      </c>
      <c r="B21" s="256">
        <v>5</v>
      </c>
      <c r="C21" s="249">
        <f t="shared" si="10"/>
        <v>142</v>
      </c>
      <c r="D21" s="256">
        <v>0</v>
      </c>
      <c r="E21" s="256">
        <f t="shared" si="4"/>
        <v>2551</v>
      </c>
      <c r="F21" s="270">
        <f t="shared" si="11"/>
        <v>5.5664445315562527E-2</v>
      </c>
      <c r="G21" s="257">
        <f t="shared" si="12"/>
        <v>8.1142857142857142E-2</v>
      </c>
      <c r="H21" s="262"/>
      <c r="I21" s="256">
        <v>0</v>
      </c>
      <c r="J21" s="256">
        <f t="shared" si="5"/>
        <v>2285</v>
      </c>
      <c r="K21" s="256">
        <v>0</v>
      </c>
      <c r="L21" s="256">
        <f t="shared" si="6"/>
        <v>14678</v>
      </c>
      <c r="M21" s="270">
        <f t="shared" si="9"/>
        <v>0.15567516010355634</v>
      </c>
      <c r="N21" s="257">
        <f t="shared" si="0"/>
        <v>7.7376316413260635E-2</v>
      </c>
      <c r="O21" s="262"/>
      <c r="P21" s="256">
        <v>189</v>
      </c>
      <c r="Q21" s="256">
        <v>13</v>
      </c>
      <c r="R21" s="256">
        <f t="shared" si="7"/>
        <v>2954</v>
      </c>
      <c r="S21" s="256">
        <v>206</v>
      </c>
      <c r="T21" s="256">
        <f t="shared" si="8"/>
        <v>14334</v>
      </c>
      <c r="U21" s="270">
        <f t="shared" si="2"/>
        <v>0.20608343797962886</v>
      </c>
      <c r="V21" s="257" t="e">
        <f t="shared" si="3"/>
        <v>#REF!</v>
      </c>
      <c r="W21" s="275"/>
      <c r="X21" s="278"/>
      <c r="Y21" s="278"/>
      <c r="Z21" s="278"/>
      <c r="AA21" s="278"/>
      <c r="AB21" s="279"/>
      <c r="AC21" s="279"/>
    </row>
    <row r="22" spans="1:29" x14ac:dyDescent="0.2">
      <c r="A22" s="253">
        <v>16</v>
      </c>
      <c r="B22" s="256">
        <v>0</v>
      </c>
      <c r="C22" s="249">
        <f t="shared" si="10"/>
        <v>142</v>
      </c>
      <c r="D22" s="256">
        <v>0</v>
      </c>
      <c r="E22" s="256">
        <f t="shared" si="4"/>
        <v>2551</v>
      </c>
      <c r="F22" s="270">
        <f t="shared" si="11"/>
        <v>5.5664445315562527E-2</v>
      </c>
      <c r="G22" s="257">
        <f t="shared" si="12"/>
        <v>8.1142857142857142E-2</v>
      </c>
      <c r="H22" s="262"/>
      <c r="I22" s="256">
        <v>1156</v>
      </c>
      <c r="J22" s="256">
        <f t="shared" si="5"/>
        <v>3441</v>
      </c>
      <c r="K22" s="256">
        <v>1844</v>
      </c>
      <c r="L22" s="256">
        <f t="shared" si="6"/>
        <v>16522</v>
      </c>
      <c r="M22" s="270">
        <f t="shared" si="9"/>
        <v>0.20826776419319695</v>
      </c>
      <c r="N22" s="257">
        <f t="shared" si="0"/>
        <v>0.11652162134705903</v>
      </c>
      <c r="O22" s="262"/>
      <c r="P22" s="256" t="e">
        <f>#REF!</f>
        <v>#REF!</v>
      </c>
      <c r="Q22" s="256">
        <v>22</v>
      </c>
      <c r="R22" s="256" t="e">
        <f t="shared" si="7"/>
        <v>#REF!</v>
      </c>
      <c r="S22" s="256">
        <v>316</v>
      </c>
      <c r="T22" s="256">
        <f t="shared" si="8"/>
        <v>14650</v>
      </c>
      <c r="U22" s="270" t="e">
        <f t="shared" si="2"/>
        <v>#REF!</v>
      </c>
      <c r="V22" s="257" t="e">
        <f t="shared" si="3"/>
        <v>#REF!</v>
      </c>
      <c r="W22" s="275"/>
      <c r="X22" s="278"/>
      <c r="Y22" s="278"/>
      <c r="Z22" s="278"/>
      <c r="AA22" s="278"/>
      <c r="AB22" s="279"/>
      <c r="AC22" s="279"/>
    </row>
    <row r="23" spans="1:29" x14ac:dyDescent="0.2">
      <c r="A23" s="253">
        <v>17</v>
      </c>
      <c r="B23" s="256">
        <v>0</v>
      </c>
      <c r="C23" s="249">
        <f t="shared" si="10"/>
        <v>142</v>
      </c>
      <c r="D23" s="256">
        <v>0</v>
      </c>
      <c r="E23" s="256">
        <f t="shared" si="4"/>
        <v>2551</v>
      </c>
      <c r="F23" s="270">
        <f t="shared" si="11"/>
        <v>5.5664445315562527E-2</v>
      </c>
      <c r="G23" s="257">
        <f t="shared" si="12"/>
        <v>8.1142857142857142E-2</v>
      </c>
      <c r="H23" s="262"/>
      <c r="I23" s="256">
        <v>18</v>
      </c>
      <c r="J23" s="256">
        <f t="shared" si="5"/>
        <v>3459</v>
      </c>
      <c r="K23" s="256">
        <v>1549</v>
      </c>
      <c r="L23" s="256">
        <f t="shared" si="6"/>
        <v>18071</v>
      </c>
      <c r="M23" s="270">
        <f t="shared" si="9"/>
        <v>0.1914116540313209</v>
      </c>
      <c r="N23" s="257">
        <f t="shared" si="0"/>
        <v>0.11713115031661643</v>
      </c>
      <c r="O23" s="262"/>
      <c r="P23" s="256" t="e">
        <f>#REF!</f>
        <v>#REF!</v>
      </c>
      <c r="Q23" s="256">
        <v>13</v>
      </c>
      <c r="R23" s="256" t="e">
        <f t="shared" si="7"/>
        <v>#REF!</v>
      </c>
      <c r="S23" s="41">
        <v>351</v>
      </c>
      <c r="T23" s="256">
        <f t="shared" si="8"/>
        <v>15001</v>
      </c>
      <c r="U23" s="270" t="e">
        <f t="shared" si="2"/>
        <v>#REF!</v>
      </c>
      <c r="V23" s="257" t="e">
        <f t="shared" si="3"/>
        <v>#REF!</v>
      </c>
      <c r="W23" s="275"/>
      <c r="X23" s="278"/>
      <c r="Y23" s="278"/>
      <c r="Z23" s="278"/>
      <c r="AA23" s="278"/>
      <c r="AB23" s="279"/>
      <c r="AC23" s="279"/>
    </row>
    <row r="24" spans="1:29" x14ac:dyDescent="0.2">
      <c r="A24" s="253">
        <v>18</v>
      </c>
      <c r="B24" s="256">
        <v>91</v>
      </c>
      <c r="C24" s="249">
        <f t="shared" si="10"/>
        <v>233</v>
      </c>
      <c r="D24" s="256">
        <v>80</v>
      </c>
      <c r="E24" s="256">
        <f t="shared" si="4"/>
        <v>2631</v>
      </c>
      <c r="F24" s="270">
        <f t="shared" si="11"/>
        <v>8.8559483086278978E-2</v>
      </c>
      <c r="G24" s="257">
        <f t="shared" si="12"/>
        <v>0.13314285714285715</v>
      </c>
      <c r="H24" s="262"/>
      <c r="I24" s="256">
        <v>1135</v>
      </c>
      <c r="J24" s="256">
        <f t="shared" si="5"/>
        <v>4594</v>
      </c>
      <c r="K24" s="256">
        <v>1532</v>
      </c>
      <c r="L24" s="256">
        <f t="shared" si="6"/>
        <v>19603</v>
      </c>
      <c r="M24" s="270">
        <f t="shared" si="9"/>
        <v>0.23435188491557415</v>
      </c>
      <c r="N24" s="257">
        <f t="shared" si="0"/>
        <v>0.15556533811926451</v>
      </c>
      <c r="O24" s="262"/>
      <c r="P24" s="256" t="e">
        <f>#REF!</f>
        <v>#REF!</v>
      </c>
      <c r="Q24" s="256">
        <v>7</v>
      </c>
      <c r="R24" s="256" t="e">
        <f t="shared" si="7"/>
        <v>#REF!</v>
      </c>
      <c r="S24" s="41">
        <f>Mailed!B27</f>
        <v>878</v>
      </c>
      <c r="T24" s="256">
        <f t="shared" si="8"/>
        <v>15879</v>
      </c>
      <c r="U24" s="270" t="e">
        <f t="shared" si="2"/>
        <v>#REF!</v>
      </c>
      <c r="V24" s="257" t="e">
        <f t="shared" si="3"/>
        <v>#REF!</v>
      </c>
      <c r="W24" s="275"/>
      <c r="X24" s="278"/>
      <c r="Y24" s="278"/>
      <c r="Z24" s="278"/>
      <c r="AA24" s="278"/>
      <c r="AB24" s="279"/>
      <c r="AC24" s="279"/>
    </row>
    <row r="25" spans="1:29" x14ac:dyDescent="0.2">
      <c r="A25" s="253">
        <v>19</v>
      </c>
      <c r="B25" s="256">
        <v>2</v>
      </c>
      <c r="C25" s="249">
        <f t="shared" si="10"/>
        <v>235</v>
      </c>
      <c r="D25" s="256">
        <v>8</v>
      </c>
      <c r="E25" s="256">
        <f t="shared" si="4"/>
        <v>2639</v>
      </c>
      <c r="F25" s="270">
        <f t="shared" si="11"/>
        <v>8.9048882152330422E-2</v>
      </c>
      <c r="G25" s="257">
        <f t="shared" si="12"/>
        <v>0.13428571428571429</v>
      </c>
      <c r="H25" s="262"/>
      <c r="I25" s="256">
        <v>519</v>
      </c>
      <c r="J25" s="256">
        <f t="shared" si="5"/>
        <v>5113</v>
      </c>
      <c r="K25" s="256">
        <v>1743</v>
      </c>
      <c r="L25" s="256">
        <f t="shared" si="6"/>
        <v>21346</v>
      </c>
      <c r="M25" s="270">
        <f t="shared" si="9"/>
        <v>0.2395296542677785</v>
      </c>
      <c r="N25" s="257">
        <f t="shared" si="0"/>
        <v>0.17314009007483661</v>
      </c>
      <c r="O25" s="262"/>
      <c r="P25" s="256" t="e">
        <f>#REF!</f>
        <v>#REF!</v>
      </c>
      <c r="Q25" s="41" t="e">
        <f>#REF!</f>
        <v>#REF!</v>
      </c>
      <c r="R25" s="256" t="e">
        <f t="shared" si="7"/>
        <v>#REF!</v>
      </c>
      <c r="S25" s="41">
        <f>Mailed!B28</f>
        <v>553</v>
      </c>
      <c r="T25" s="256">
        <f t="shared" si="8"/>
        <v>16432</v>
      </c>
      <c r="U25" s="270" t="e">
        <f t="shared" si="2"/>
        <v>#REF!</v>
      </c>
      <c r="V25" s="257" t="e">
        <f t="shared" si="3"/>
        <v>#REF!</v>
      </c>
      <c r="W25" s="275"/>
      <c r="X25" s="278"/>
      <c r="Y25" s="278"/>
      <c r="Z25" s="278"/>
      <c r="AA25" s="278"/>
      <c r="AB25" s="279"/>
      <c r="AC25" s="279"/>
    </row>
    <row r="26" spans="1:29" x14ac:dyDescent="0.2">
      <c r="A26" s="253">
        <v>20</v>
      </c>
      <c r="B26" s="256">
        <v>28</v>
      </c>
      <c r="C26" s="249">
        <f t="shared" si="10"/>
        <v>263</v>
      </c>
      <c r="D26" s="256">
        <v>57</v>
      </c>
      <c r="E26" s="256">
        <f t="shared" si="4"/>
        <v>2696</v>
      </c>
      <c r="F26" s="270">
        <f t="shared" si="11"/>
        <v>9.7551928783382785E-2</v>
      </c>
      <c r="G26" s="257">
        <f t="shared" si="12"/>
        <v>0.15028571428571427</v>
      </c>
      <c r="H26" s="262"/>
      <c r="I26" s="256">
        <v>0</v>
      </c>
      <c r="J26" s="256">
        <f t="shared" si="5"/>
        <v>5113</v>
      </c>
      <c r="K26" s="256">
        <v>0</v>
      </c>
      <c r="L26" s="256">
        <f t="shared" si="6"/>
        <v>21346</v>
      </c>
      <c r="M26" s="270">
        <f t="shared" si="9"/>
        <v>0.2395296542677785</v>
      </c>
      <c r="N26" s="257">
        <f t="shared" si="0"/>
        <v>0.17314009007483661</v>
      </c>
      <c r="O26" s="262"/>
      <c r="P26" s="256">
        <v>0</v>
      </c>
      <c r="Q26" s="256">
        <v>0</v>
      </c>
      <c r="R26" s="256" t="e">
        <f t="shared" si="7"/>
        <v>#REF!</v>
      </c>
      <c r="S26" s="41">
        <f>Mailed!B29</f>
        <v>0</v>
      </c>
      <c r="T26" s="256">
        <f t="shared" si="8"/>
        <v>16432</v>
      </c>
      <c r="U26" s="270" t="e">
        <f t="shared" si="2"/>
        <v>#REF!</v>
      </c>
      <c r="V26" s="257" t="e">
        <f t="shared" si="3"/>
        <v>#REF!</v>
      </c>
      <c r="W26" s="275"/>
      <c r="X26" s="278"/>
      <c r="Y26" s="278"/>
      <c r="Z26" s="278"/>
      <c r="AA26" s="278"/>
      <c r="AB26" s="279"/>
      <c r="AC26" s="279"/>
    </row>
    <row r="27" spans="1:29" x14ac:dyDescent="0.2">
      <c r="A27" s="253">
        <v>21</v>
      </c>
      <c r="B27" s="256">
        <v>18</v>
      </c>
      <c r="C27" s="249">
        <f t="shared" si="10"/>
        <v>281</v>
      </c>
      <c r="D27" s="256">
        <v>66</v>
      </c>
      <c r="E27" s="256">
        <f t="shared" si="4"/>
        <v>2762</v>
      </c>
      <c r="F27" s="270">
        <f t="shared" si="11"/>
        <v>0.10173787110789283</v>
      </c>
      <c r="G27" s="257">
        <f t="shared" si="12"/>
        <v>0.16057142857142856</v>
      </c>
      <c r="H27" s="262"/>
      <c r="I27" s="256">
        <v>0</v>
      </c>
      <c r="J27" s="256">
        <f t="shared" si="5"/>
        <v>5113</v>
      </c>
      <c r="K27" s="256">
        <v>0</v>
      </c>
      <c r="L27" s="256">
        <f t="shared" si="6"/>
        <v>21346</v>
      </c>
      <c r="M27" s="270">
        <f t="shared" si="9"/>
        <v>0.2395296542677785</v>
      </c>
      <c r="N27" s="257">
        <f t="shared" si="0"/>
        <v>0.17314009007483661</v>
      </c>
      <c r="O27" s="262"/>
      <c r="P27" s="256">
        <v>0</v>
      </c>
      <c r="Q27" s="256">
        <v>0</v>
      </c>
      <c r="R27" s="256" t="e">
        <f t="shared" si="7"/>
        <v>#REF!</v>
      </c>
      <c r="S27" s="41">
        <f>Mailed!B30</f>
        <v>0</v>
      </c>
      <c r="T27" s="256">
        <f t="shared" si="8"/>
        <v>16432</v>
      </c>
      <c r="U27" s="270" t="e">
        <f t="shared" si="2"/>
        <v>#REF!</v>
      </c>
      <c r="V27" s="257" t="e">
        <f t="shared" si="3"/>
        <v>#REF!</v>
      </c>
      <c r="W27" s="275"/>
      <c r="X27" s="278"/>
      <c r="Y27" s="278"/>
      <c r="Z27" s="278"/>
      <c r="AA27" s="278"/>
      <c r="AB27" s="279"/>
      <c r="AC27" s="279"/>
    </row>
    <row r="28" spans="1:29" x14ac:dyDescent="0.2">
      <c r="A28" s="253">
        <v>22</v>
      </c>
      <c r="B28" s="256">
        <v>12</v>
      </c>
      <c r="C28" s="249">
        <f t="shared" si="10"/>
        <v>293</v>
      </c>
      <c r="D28" s="256">
        <v>0</v>
      </c>
      <c r="E28" s="256">
        <f t="shared" si="4"/>
        <v>2762</v>
      </c>
      <c r="F28" s="270">
        <f t="shared" si="11"/>
        <v>0.10608254887762492</v>
      </c>
      <c r="G28" s="257">
        <f t="shared" si="12"/>
        <v>0.16742857142857143</v>
      </c>
      <c r="H28" s="262"/>
      <c r="I28" s="256">
        <v>1635</v>
      </c>
      <c r="J28" s="256">
        <f t="shared" si="5"/>
        <v>6748</v>
      </c>
      <c r="K28" s="256">
        <v>1763</v>
      </c>
      <c r="L28" s="256">
        <f t="shared" si="6"/>
        <v>23109</v>
      </c>
      <c r="M28" s="270">
        <f t="shared" si="9"/>
        <v>0.29200744298758058</v>
      </c>
      <c r="N28" s="257">
        <f t="shared" si="0"/>
        <v>0.2285056381429684</v>
      </c>
      <c r="O28" s="262"/>
      <c r="P28" s="256" t="e">
        <f>#REF!</f>
        <v>#REF!</v>
      </c>
      <c r="Q28" s="256" t="e">
        <f>#REF!</f>
        <v>#REF!</v>
      </c>
      <c r="R28" s="256" t="e">
        <f>SUM(P28:Q28,R27)</f>
        <v>#REF!</v>
      </c>
      <c r="S28" s="41">
        <f>Mailed!B31</f>
        <v>2033</v>
      </c>
      <c r="T28" s="256">
        <f t="shared" si="8"/>
        <v>18465</v>
      </c>
      <c r="U28" s="270" t="e">
        <f t="shared" si="2"/>
        <v>#REF!</v>
      </c>
      <c r="V28" s="257" t="e">
        <f t="shared" si="3"/>
        <v>#REF!</v>
      </c>
      <c r="W28" s="275"/>
      <c r="X28" s="278"/>
      <c r="Y28" s="278"/>
      <c r="Z28" s="278"/>
      <c r="AA28" s="278"/>
      <c r="AB28" s="279"/>
      <c r="AC28" s="279"/>
    </row>
    <row r="29" spans="1:29" x14ac:dyDescent="0.2">
      <c r="A29" s="253">
        <v>23</v>
      </c>
      <c r="B29" s="256">
        <v>0</v>
      </c>
      <c r="C29" s="249">
        <f t="shared" si="10"/>
        <v>293</v>
      </c>
      <c r="D29" s="256">
        <v>0</v>
      </c>
      <c r="E29" s="256">
        <f t="shared" si="4"/>
        <v>2762</v>
      </c>
      <c r="F29" s="270">
        <f t="shared" si="11"/>
        <v>0.10608254887762492</v>
      </c>
      <c r="G29" s="257">
        <f t="shared" si="12"/>
        <v>0.16742857142857143</v>
      </c>
      <c r="H29" s="262"/>
      <c r="I29" s="256">
        <v>54</v>
      </c>
      <c r="J29" s="256">
        <f t="shared" si="5"/>
        <v>6802</v>
      </c>
      <c r="K29" s="256">
        <v>2828</v>
      </c>
      <c r="L29" s="256">
        <f t="shared" si="6"/>
        <v>25937</v>
      </c>
      <c r="M29" s="270">
        <f t="shared" si="9"/>
        <v>0.26225083857038206</v>
      </c>
      <c r="N29" s="257">
        <f t="shared" si="0"/>
        <v>0.23033422505164064</v>
      </c>
      <c r="O29" s="262"/>
      <c r="P29" s="256" t="e">
        <f>#REF!</f>
        <v>#REF!</v>
      </c>
      <c r="Q29" s="256" t="e">
        <f>#REF!</f>
        <v>#REF!</v>
      </c>
      <c r="R29" s="256" t="e">
        <f>SUM(P29:Q29,R28)</f>
        <v>#REF!</v>
      </c>
      <c r="S29" s="41">
        <f>Mailed!B32</f>
        <v>2927</v>
      </c>
      <c r="T29" s="256">
        <f t="shared" si="8"/>
        <v>21392</v>
      </c>
      <c r="U29" s="270" t="e">
        <f t="shared" si="2"/>
        <v>#REF!</v>
      </c>
      <c r="V29" s="257" t="e">
        <f t="shared" si="3"/>
        <v>#REF!</v>
      </c>
      <c r="W29" s="275"/>
      <c r="X29" s="278"/>
      <c r="Y29" s="278"/>
      <c r="Z29" s="278"/>
      <c r="AA29" s="278"/>
      <c r="AB29" s="279"/>
      <c r="AC29" s="279"/>
    </row>
    <row r="30" spans="1:29" x14ac:dyDescent="0.2">
      <c r="A30" s="253">
        <v>24</v>
      </c>
      <c r="B30" s="256">
        <v>0</v>
      </c>
      <c r="C30" s="249">
        <f t="shared" si="10"/>
        <v>293</v>
      </c>
      <c r="D30" s="256">
        <v>0</v>
      </c>
      <c r="E30" s="256">
        <f t="shared" si="4"/>
        <v>2762</v>
      </c>
      <c r="F30" s="270">
        <f t="shared" si="11"/>
        <v>0.10608254887762492</v>
      </c>
      <c r="G30" s="257">
        <f t="shared" si="12"/>
        <v>0.16742857142857143</v>
      </c>
      <c r="H30" s="262"/>
      <c r="I30" s="256">
        <v>1195</v>
      </c>
      <c r="J30" s="256">
        <f t="shared" si="5"/>
        <v>7997</v>
      </c>
      <c r="K30" s="256">
        <v>723</v>
      </c>
      <c r="L30" s="256">
        <f t="shared" si="6"/>
        <v>26660</v>
      </c>
      <c r="M30" s="270">
        <f t="shared" si="9"/>
        <v>0.29996249062265568</v>
      </c>
      <c r="N30" s="257">
        <f t="shared" si="0"/>
        <v>0.27080017608614676</v>
      </c>
      <c r="O30" s="262"/>
      <c r="P30" s="256" t="e">
        <f>#REF!</f>
        <v>#REF!</v>
      </c>
      <c r="Q30" s="41" t="e">
        <f>#REF!</f>
        <v>#REF!</v>
      </c>
      <c r="R30" s="256" t="e">
        <f t="shared" si="7"/>
        <v>#REF!</v>
      </c>
      <c r="S30" s="41">
        <f>Mailed!B33</f>
        <v>2326</v>
      </c>
      <c r="T30" s="256">
        <f t="shared" si="8"/>
        <v>23718</v>
      </c>
      <c r="U30" s="270" t="e">
        <f t="shared" si="2"/>
        <v>#REF!</v>
      </c>
      <c r="V30" s="257" t="e">
        <f t="shared" si="3"/>
        <v>#REF!</v>
      </c>
      <c r="W30" s="275"/>
      <c r="X30" s="278"/>
      <c r="Y30" s="278"/>
      <c r="Z30" s="278"/>
      <c r="AA30" s="278"/>
      <c r="AB30" s="279"/>
      <c r="AC30" s="279"/>
    </row>
    <row r="31" spans="1:29" x14ac:dyDescent="0.2">
      <c r="A31" s="253">
        <v>25</v>
      </c>
      <c r="B31" s="256">
        <v>72</v>
      </c>
      <c r="C31" s="249">
        <f t="shared" si="10"/>
        <v>365</v>
      </c>
      <c r="D31" s="256">
        <v>110</v>
      </c>
      <c r="E31" s="256">
        <f t="shared" si="4"/>
        <v>2872</v>
      </c>
      <c r="F31" s="270">
        <f t="shared" si="11"/>
        <v>0.12708913649025069</v>
      </c>
      <c r="G31" s="257">
        <f t="shared" si="12"/>
        <v>0.20857142857142857</v>
      </c>
      <c r="H31" s="262"/>
      <c r="I31" s="256">
        <v>915</v>
      </c>
      <c r="J31" s="256">
        <f t="shared" si="5"/>
        <v>8912</v>
      </c>
      <c r="K31" s="256">
        <v>1720</v>
      </c>
      <c r="L31" s="256">
        <f t="shared" si="6"/>
        <v>28380</v>
      </c>
      <c r="M31" s="270">
        <f t="shared" si="9"/>
        <v>0.31402396053558845</v>
      </c>
      <c r="N31" s="257">
        <f t="shared" si="0"/>
        <v>0.30178456537198201</v>
      </c>
      <c r="O31" s="262"/>
      <c r="P31" s="256" t="e">
        <f>#REF!</f>
        <v>#REF!</v>
      </c>
      <c r="Q31" s="41" t="e">
        <f>#REF!</f>
        <v>#REF!</v>
      </c>
      <c r="R31" s="256" t="e">
        <f t="shared" si="7"/>
        <v>#REF!</v>
      </c>
      <c r="S31" s="41">
        <f>Mailed!B34</f>
        <v>1628</v>
      </c>
      <c r="T31" s="256">
        <f t="shared" si="8"/>
        <v>25346</v>
      </c>
      <c r="U31" s="270" t="e">
        <f t="shared" si="2"/>
        <v>#REF!</v>
      </c>
      <c r="V31" s="257" t="e">
        <f t="shared" si="3"/>
        <v>#REF!</v>
      </c>
      <c r="W31" s="275"/>
      <c r="X31" s="278"/>
      <c r="Y31" s="278"/>
      <c r="Z31" s="278"/>
      <c r="AA31" s="278"/>
      <c r="AB31" s="279"/>
      <c r="AC31" s="279"/>
    </row>
    <row r="32" spans="1:29" x14ac:dyDescent="0.2">
      <c r="A32" s="253">
        <v>26</v>
      </c>
      <c r="B32" s="256">
        <v>12</v>
      </c>
      <c r="C32" s="249">
        <f t="shared" si="10"/>
        <v>377</v>
      </c>
      <c r="D32" s="256">
        <v>113</v>
      </c>
      <c r="E32" s="256">
        <f t="shared" si="4"/>
        <v>2985</v>
      </c>
      <c r="F32" s="270">
        <f t="shared" si="11"/>
        <v>0.12629815745393635</v>
      </c>
      <c r="G32" s="257">
        <f t="shared" si="12"/>
        <v>0.21542857142857144</v>
      </c>
      <c r="H32" s="262"/>
      <c r="I32" s="256">
        <v>864</v>
      </c>
      <c r="J32" s="256">
        <f t="shared" si="5"/>
        <v>9776</v>
      </c>
      <c r="K32" s="256">
        <v>1379</v>
      </c>
      <c r="L32" s="256">
        <f t="shared" si="6"/>
        <v>29759</v>
      </c>
      <c r="M32" s="270">
        <f t="shared" si="9"/>
        <v>0.32850566215262611</v>
      </c>
      <c r="N32" s="257">
        <f t="shared" si="0"/>
        <v>0.33104195591073787</v>
      </c>
      <c r="O32" s="262"/>
      <c r="P32" s="256" t="e">
        <f>#REF!</f>
        <v>#REF!</v>
      </c>
      <c r="Q32" s="41" t="e">
        <f>#REF!</f>
        <v>#REF!</v>
      </c>
      <c r="R32" s="256" t="e">
        <f t="shared" si="7"/>
        <v>#REF!</v>
      </c>
      <c r="S32" s="41">
        <f>Mailed!B35</f>
        <v>1506</v>
      </c>
      <c r="T32" s="256">
        <f t="shared" si="8"/>
        <v>26852</v>
      </c>
      <c r="U32" s="270" t="e">
        <f t="shared" si="2"/>
        <v>#REF!</v>
      </c>
      <c r="V32" s="257" t="e">
        <f t="shared" si="3"/>
        <v>#REF!</v>
      </c>
      <c r="W32" s="275"/>
      <c r="X32" s="278"/>
      <c r="Y32" s="278"/>
      <c r="Z32" s="278"/>
      <c r="AA32" s="278"/>
      <c r="AB32" s="279"/>
      <c r="AC32" s="279"/>
    </row>
    <row r="33" spans="1:30" x14ac:dyDescent="0.2">
      <c r="A33" s="253">
        <v>27</v>
      </c>
      <c r="B33" s="256">
        <v>53</v>
      </c>
      <c r="C33" s="249">
        <f t="shared" si="10"/>
        <v>430</v>
      </c>
      <c r="D33" s="256">
        <v>68</v>
      </c>
      <c r="E33" s="256">
        <f t="shared" si="4"/>
        <v>3053</v>
      </c>
      <c r="F33" s="270">
        <f t="shared" si="11"/>
        <v>0.14084507042253522</v>
      </c>
      <c r="G33" s="257">
        <f t="shared" si="12"/>
        <v>0.24571428571428572</v>
      </c>
      <c r="H33" s="262"/>
      <c r="I33" s="256">
        <v>0</v>
      </c>
      <c r="J33" s="256">
        <f t="shared" si="5"/>
        <v>9776</v>
      </c>
      <c r="K33" s="256">
        <v>0</v>
      </c>
      <c r="L33" s="256">
        <f t="shared" si="6"/>
        <v>29759</v>
      </c>
      <c r="M33" s="270">
        <f t="shared" si="9"/>
        <v>0.32850566215262611</v>
      </c>
      <c r="N33" s="257">
        <f t="shared" si="0"/>
        <v>0.33104195591073787</v>
      </c>
      <c r="O33" s="262"/>
      <c r="P33" s="256" t="e">
        <f>#REF!</f>
        <v>#REF!</v>
      </c>
      <c r="Q33" s="41">
        <v>0</v>
      </c>
      <c r="R33" s="256" t="e">
        <f t="shared" si="7"/>
        <v>#REF!</v>
      </c>
      <c r="S33" s="41">
        <f>Mailed!B36</f>
        <v>0</v>
      </c>
      <c r="T33" s="256">
        <f t="shared" si="8"/>
        <v>26852</v>
      </c>
      <c r="U33" s="270" t="e">
        <f t="shared" si="2"/>
        <v>#REF!</v>
      </c>
      <c r="V33" s="257" t="e">
        <f t="shared" si="3"/>
        <v>#REF!</v>
      </c>
      <c r="W33" s="275"/>
      <c r="X33" s="278"/>
      <c r="Y33" s="278"/>
      <c r="Z33" s="278"/>
      <c r="AA33" s="278"/>
      <c r="AB33" s="279"/>
      <c r="AC33" s="279"/>
    </row>
    <row r="34" spans="1:30" x14ac:dyDescent="0.2">
      <c r="A34" s="253">
        <v>28</v>
      </c>
      <c r="B34" s="256">
        <v>25</v>
      </c>
      <c r="C34" s="249">
        <f t="shared" si="10"/>
        <v>455</v>
      </c>
      <c r="D34" s="256">
        <v>55</v>
      </c>
      <c r="E34" s="256">
        <f t="shared" si="4"/>
        <v>3108</v>
      </c>
      <c r="F34" s="270">
        <f t="shared" si="11"/>
        <v>0.1463963963963964</v>
      </c>
      <c r="G34" s="257">
        <f t="shared" si="12"/>
        <v>0.26</v>
      </c>
      <c r="H34" s="262"/>
      <c r="I34" s="256">
        <v>0</v>
      </c>
      <c r="J34" s="256">
        <f t="shared" si="5"/>
        <v>9776</v>
      </c>
      <c r="K34" s="256">
        <v>0</v>
      </c>
      <c r="L34" s="256">
        <f t="shared" si="6"/>
        <v>29759</v>
      </c>
      <c r="M34" s="270">
        <f t="shared" si="9"/>
        <v>0.32850566215262611</v>
      </c>
      <c r="N34" s="257">
        <f t="shared" si="0"/>
        <v>0.33104195591073787</v>
      </c>
      <c r="O34" s="262"/>
      <c r="P34" s="256" t="e">
        <f>#REF!</f>
        <v>#REF!</v>
      </c>
      <c r="Q34" s="41">
        <v>0</v>
      </c>
      <c r="R34" s="256" t="e">
        <f t="shared" si="7"/>
        <v>#REF!</v>
      </c>
      <c r="S34" s="41">
        <f>Mailed!B37</f>
        <v>0</v>
      </c>
      <c r="T34" s="256">
        <f t="shared" si="8"/>
        <v>26852</v>
      </c>
      <c r="U34" s="270" t="e">
        <f t="shared" si="2"/>
        <v>#REF!</v>
      </c>
      <c r="V34" s="257" t="e">
        <f t="shared" si="3"/>
        <v>#REF!</v>
      </c>
      <c r="W34" s="275"/>
      <c r="X34" s="278"/>
      <c r="Y34" s="278"/>
      <c r="Z34" s="278"/>
      <c r="AA34" s="278"/>
      <c r="AB34" s="279"/>
      <c r="AC34" s="321"/>
    </row>
    <row r="35" spans="1:30" x14ac:dyDescent="0.2">
      <c r="A35" s="253">
        <v>29</v>
      </c>
      <c r="B35" s="256">
        <v>12</v>
      </c>
      <c r="C35" s="249">
        <f t="shared" si="10"/>
        <v>467</v>
      </c>
      <c r="D35" s="256">
        <v>47</v>
      </c>
      <c r="E35" s="256">
        <f t="shared" si="4"/>
        <v>3155</v>
      </c>
      <c r="F35" s="270">
        <f t="shared" si="11"/>
        <v>0.14801901743264659</v>
      </c>
      <c r="G35" s="257">
        <f t="shared" si="12"/>
        <v>0.26685714285714285</v>
      </c>
      <c r="H35" s="262"/>
      <c r="I35" s="256">
        <v>2692</v>
      </c>
      <c r="J35" s="256">
        <f t="shared" si="5"/>
        <v>12468</v>
      </c>
      <c r="K35" s="256">
        <v>1300</v>
      </c>
      <c r="L35" s="256">
        <f t="shared" si="6"/>
        <v>31059</v>
      </c>
      <c r="M35" s="270">
        <f t="shared" si="9"/>
        <v>0.40142953733217424</v>
      </c>
      <c r="N35" s="257">
        <f t="shared" si="0"/>
        <v>0.42220039958010225</v>
      </c>
      <c r="O35" s="262"/>
      <c r="P35" s="256" t="e">
        <f>#REF!</f>
        <v>#REF!</v>
      </c>
      <c r="Q35" s="41" t="e">
        <f>#REF!</f>
        <v>#REF!</v>
      </c>
      <c r="R35" s="256" t="e">
        <f t="shared" si="7"/>
        <v>#REF!</v>
      </c>
      <c r="S35" s="41">
        <f>Mailed!B38</f>
        <v>2361</v>
      </c>
      <c r="T35" s="256">
        <f t="shared" si="8"/>
        <v>29213</v>
      </c>
      <c r="U35" s="270" t="e">
        <f t="shared" si="2"/>
        <v>#REF!</v>
      </c>
      <c r="V35" s="257" t="e">
        <f t="shared" si="3"/>
        <v>#REF!</v>
      </c>
      <c r="W35" s="275"/>
      <c r="X35" s="278"/>
      <c r="Y35" s="278"/>
      <c r="Z35" s="278"/>
      <c r="AA35" s="278"/>
      <c r="AB35" s="279"/>
      <c r="AC35" s="321"/>
    </row>
    <row r="36" spans="1:30" x14ac:dyDescent="0.2">
      <c r="A36" s="253">
        <v>30</v>
      </c>
      <c r="B36" s="256">
        <v>0</v>
      </c>
      <c r="C36" s="249">
        <f t="shared" si="10"/>
        <v>467</v>
      </c>
      <c r="D36" s="256">
        <v>0</v>
      </c>
      <c r="E36" s="256">
        <f t="shared" si="4"/>
        <v>3155</v>
      </c>
      <c r="F36" s="270">
        <f t="shared" si="11"/>
        <v>0.14801901743264659</v>
      </c>
      <c r="G36" s="257">
        <f t="shared" si="12"/>
        <v>0.26685714285714285</v>
      </c>
      <c r="H36" s="262"/>
      <c r="I36" s="256">
        <v>79</v>
      </c>
      <c r="J36" s="256">
        <f t="shared" si="5"/>
        <v>12547</v>
      </c>
      <c r="K36" s="256">
        <v>1070</v>
      </c>
      <c r="L36" s="256">
        <f t="shared" si="6"/>
        <v>32129</v>
      </c>
      <c r="M36" s="270">
        <f t="shared" si="9"/>
        <v>0.39051946839304058</v>
      </c>
      <c r="N36" s="257">
        <f t="shared" si="0"/>
        <v>0.42487555450204867</v>
      </c>
      <c r="O36" s="262"/>
      <c r="P36" s="256" t="e">
        <f>#REF!</f>
        <v>#REF!</v>
      </c>
      <c r="Q36" s="41" t="e">
        <f>#REF!</f>
        <v>#REF!</v>
      </c>
      <c r="R36" s="256" t="e">
        <f t="shared" si="7"/>
        <v>#REF!</v>
      </c>
      <c r="S36" s="41">
        <f>Mailed!B39</f>
        <v>2331</v>
      </c>
      <c r="T36" s="256">
        <f t="shared" si="8"/>
        <v>31544</v>
      </c>
      <c r="U36" s="270" t="e">
        <f t="shared" si="2"/>
        <v>#REF!</v>
      </c>
      <c r="V36" s="257" t="e">
        <f t="shared" si="3"/>
        <v>#REF!</v>
      </c>
      <c r="W36" s="275"/>
      <c r="X36" s="278"/>
      <c r="Y36" s="278"/>
      <c r="Z36" s="278"/>
      <c r="AA36" s="278"/>
      <c r="AB36" s="279"/>
      <c r="AC36" s="321"/>
    </row>
    <row r="37" spans="1:30" x14ac:dyDescent="0.2">
      <c r="A37" s="253">
        <v>31</v>
      </c>
      <c r="B37" s="256">
        <v>0</v>
      </c>
      <c r="C37" s="249">
        <f t="shared" si="10"/>
        <v>467</v>
      </c>
      <c r="D37" s="256">
        <v>0</v>
      </c>
      <c r="E37" s="256">
        <f t="shared" si="4"/>
        <v>3155</v>
      </c>
      <c r="F37" s="270">
        <f t="shared" si="11"/>
        <v>0.14801901743264659</v>
      </c>
      <c r="G37" s="257">
        <f t="shared" si="12"/>
        <v>0.26685714285714285</v>
      </c>
      <c r="H37" s="262"/>
      <c r="I37" s="256">
        <v>1745</v>
      </c>
      <c r="J37" s="256">
        <f t="shared" si="5"/>
        <v>14292</v>
      </c>
      <c r="K37" s="256">
        <v>661</v>
      </c>
      <c r="L37" s="256">
        <f t="shared" si="6"/>
        <v>32790</v>
      </c>
      <c r="M37" s="270">
        <f t="shared" si="9"/>
        <v>0.43586459286367796</v>
      </c>
      <c r="N37" s="257">
        <f t="shared" si="0"/>
        <v>0.4839660018285869</v>
      </c>
      <c r="O37" s="262"/>
      <c r="P37" s="256" t="e">
        <f>#REF!</f>
        <v>#REF!</v>
      </c>
      <c r="Q37" s="41" t="e">
        <f>#REF!</f>
        <v>#REF!</v>
      </c>
      <c r="R37" s="256" t="e">
        <f t="shared" si="7"/>
        <v>#REF!</v>
      </c>
      <c r="S37" s="41">
        <f>Mailed!B40</f>
        <v>1391</v>
      </c>
      <c r="T37" s="256">
        <f t="shared" si="8"/>
        <v>32935</v>
      </c>
      <c r="U37" s="270" t="e">
        <f t="shared" si="2"/>
        <v>#REF!</v>
      </c>
      <c r="V37" s="257" t="e">
        <f t="shared" si="3"/>
        <v>#REF!</v>
      </c>
      <c r="W37" s="275"/>
      <c r="X37" s="278"/>
      <c r="Y37" s="278"/>
      <c r="Z37" s="278"/>
      <c r="AA37" s="278"/>
      <c r="AB37" s="279"/>
      <c r="AC37" s="321"/>
    </row>
    <row r="38" spans="1:30" x14ac:dyDescent="0.2">
      <c r="A38" s="253">
        <v>32</v>
      </c>
      <c r="B38" s="256">
        <v>0</v>
      </c>
      <c r="C38" s="249">
        <f t="shared" si="10"/>
        <v>467</v>
      </c>
      <c r="D38" s="256">
        <v>0</v>
      </c>
      <c r="E38" s="256">
        <f t="shared" si="4"/>
        <v>3155</v>
      </c>
      <c r="F38" s="270">
        <f t="shared" si="11"/>
        <v>0.14801901743264659</v>
      </c>
      <c r="G38" s="257">
        <f t="shared" si="12"/>
        <v>0.26685714285714285</v>
      </c>
      <c r="H38" s="262"/>
      <c r="I38" s="256">
        <v>1086</v>
      </c>
      <c r="J38" s="256">
        <f t="shared" si="5"/>
        <v>15378</v>
      </c>
      <c r="K38" s="256">
        <v>1053</v>
      </c>
      <c r="L38" s="256">
        <f t="shared" si="6"/>
        <v>33843</v>
      </c>
      <c r="M38" s="270">
        <f t="shared" si="9"/>
        <v>0.45439234110451199</v>
      </c>
      <c r="N38" s="257">
        <f t="shared" si="0"/>
        <v>0.52074091632521757</v>
      </c>
      <c r="O38" s="262"/>
      <c r="P38" s="256">
        <v>684</v>
      </c>
      <c r="Q38" s="41" t="e">
        <f>#REF!</f>
        <v>#REF!</v>
      </c>
      <c r="R38" s="256" t="e">
        <f t="shared" ref="R38" si="13">SUM(P38:Q38,R37)</f>
        <v>#REF!</v>
      </c>
      <c r="S38" s="41">
        <f>Mailed!B41</f>
        <v>1506</v>
      </c>
      <c r="T38" s="256">
        <f t="shared" ref="T38:T50" si="14">T37+S38</f>
        <v>34441</v>
      </c>
      <c r="U38" s="270" t="e">
        <f t="shared" ref="U38" si="15">R38/T38</f>
        <v>#REF!</v>
      </c>
      <c r="V38" s="257" t="e">
        <f t="shared" si="3"/>
        <v>#REF!</v>
      </c>
      <c r="W38" s="275"/>
      <c r="X38" s="278"/>
      <c r="Y38" s="278"/>
      <c r="Z38" s="278"/>
      <c r="AA38" s="278"/>
      <c r="AB38" s="279"/>
      <c r="AC38" s="321"/>
    </row>
    <row r="39" spans="1:30" x14ac:dyDescent="0.2">
      <c r="A39" s="253">
        <v>33</v>
      </c>
      <c r="B39" s="256">
        <v>139</v>
      </c>
      <c r="C39" s="249">
        <f t="shared" si="10"/>
        <v>606</v>
      </c>
      <c r="D39" s="256">
        <v>159</v>
      </c>
      <c r="E39" s="256">
        <f t="shared" si="4"/>
        <v>3314</v>
      </c>
      <c r="F39" s="270">
        <f t="shared" si="11"/>
        <v>0.1828605914302957</v>
      </c>
      <c r="G39" s="257">
        <f t="shared" si="12"/>
        <v>0.34628571428571431</v>
      </c>
      <c r="H39" s="262"/>
      <c r="I39" s="256">
        <v>1133</v>
      </c>
      <c r="J39" s="256">
        <f t="shared" si="5"/>
        <v>16511</v>
      </c>
      <c r="K39" s="256">
        <v>1045</v>
      </c>
      <c r="L39" s="256">
        <f t="shared" si="6"/>
        <v>34888</v>
      </c>
      <c r="M39" s="270">
        <f t="shared" si="9"/>
        <v>0.47325728044026599</v>
      </c>
      <c r="N39" s="257">
        <f t="shared" si="0"/>
        <v>0.55910737868680371</v>
      </c>
      <c r="O39" s="262"/>
      <c r="P39" s="256">
        <v>19</v>
      </c>
      <c r="Q39" s="41" t="e">
        <f>#REF!</f>
        <v>#REF!</v>
      </c>
      <c r="R39" s="256" t="e">
        <f t="shared" ref="R39" si="16">SUM(P39:Q39,R38)</f>
        <v>#REF!</v>
      </c>
      <c r="S39" s="41">
        <f>Mailed!B42</f>
        <v>1994</v>
      </c>
      <c r="T39" s="256">
        <f t="shared" si="14"/>
        <v>36435</v>
      </c>
      <c r="U39" s="270" t="e">
        <f t="shared" ref="U39" si="17">R39/T39</f>
        <v>#REF!</v>
      </c>
      <c r="V39" s="257" t="e">
        <f t="shared" si="3"/>
        <v>#REF!</v>
      </c>
      <c r="W39" s="275"/>
      <c r="X39" s="278"/>
      <c r="Y39" s="278"/>
      <c r="Z39" s="278"/>
      <c r="AA39" s="278"/>
      <c r="AB39" s="279"/>
      <c r="AC39" s="321"/>
    </row>
    <row r="40" spans="1:30" x14ac:dyDescent="0.2">
      <c r="A40" s="253">
        <v>34</v>
      </c>
      <c r="B40" s="256">
        <v>10</v>
      </c>
      <c r="C40" s="249">
        <f t="shared" si="10"/>
        <v>616</v>
      </c>
      <c r="D40" s="256">
        <v>100</v>
      </c>
      <c r="E40" s="256">
        <f t="shared" si="4"/>
        <v>3414</v>
      </c>
      <c r="F40" s="270">
        <f t="shared" si="11"/>
        <v>0.18043350908025776</v>
      </c>
      <c r="G40" s="257">
        <f t="shared" si="12"/>
        <v>0.35199999999999998</v>
      </c>
      <c r="H40" s="262"/>
      <c r="I40" s="256">
        <v>0</v>
      </c>
      <c r="J40" s="256">
        <f t="shared" si="5"/>
        <v>16511</v>
      </c>
      <c r="K40" s="256">
        <v>0</v>
      </c>
      <c r="L40" s="256">
        <f t="shared" si="6"/>
        <v>34888</v>
      </c>
      <c r="M40" s="270">
        <f t="shared" si="9"/>
        <v>0.47325728044026599</v>
      </c>
      <c r="N40" s="257">
        <f t="shared" si="0"/>
        <v>0.55910737868680371</v>
      </c>
      <c r="O40" s="262"/>
      <c r="P40" s="256">
        <v>0</v>
      </c>
      <c r="Q40" s="41" t="e">
        <f>#REF!</f>
        <v>#REF!</v>
      </c>
      <c r="R40" s="256" t="e">
        <f t="shared" ref="R40:R41" si="18">SUM(P40:Q40,R39)</f>
        <v>#REF!</v>
      </c>
      <c r="S40" s="41">
        <f>Mailed!B43</f>
        <v>0</v>
      </c>
      <c r="T40" s="256">
        <f t="shared" si="14"/>
        <v>36435</v>
      </c>
      <c r="U40" s="270" t="e">
        <f t="shared" ref="U40:U41" si="19">R40/T40</f>
        <v>#REF!</v>
      </c>
      <c r="V40" s="257" t="e">
        <f t="shared" si="3"/>
        <v>#REF!</v>
      </c>
      <c r="W40" s="275"/>
      <c r="X40" s="278"/>
      <c r="Y40" s="278"/>
      <c r="Z40" s="278"/>
      <c r="AA40" s="278"/>
      <c r="AB40" s="279"/>
      <c r="AC40" s="321"/>
    </row>
    <row r="41" spans="1:30" x14ac:dyDescent="0.2">
      <c r="A41" s="253">
        <v>35</v>
      </c>
      <c r="B41" s="256">
        <v>108</v>
      </c>
      <c r="C41" s="249">
        <f t="shared" si="10"/>
        <v>724</v>
      </c>
      <c r="D41" s="256">
        <v>66</v>
      </c>
      <c r="E41" s="256">
        <f t="shared" si="4"/>
        <v>3480</v>
      </c>
      <c r="F41" s="270">
        <f t="shared" si="11"/>
        <v>0.20804597701149424</v>
      </c>
      <c r="G41" s="257">
        <f t="shared" si="12"/>
        <v>0.4137142857142857</v>
      </c>
      <c r="H41" s="262"/>
      <c r="I41" s="256">
        <v>0</v>
      </c>
      <c r="J41" s="256">
        <f t="shared" si="5"/>
        <v>16511</v>
      </c>
      <c r="K41" s="256">
        <v>0</v>
      </c>
      <c r="L41" s="256">
        <f t="shared" si="6"/>
        <v>34888</v>
      </c>
      <c r="M41" s="270">
        <f t="shared" si="9"/>
        <v>0.47325728044026599</v>
      </c>
      <c r="N41" s="257">
        <f t="shared" si="0"/>
        <v>0.55910737868680371</v>
      </c>
      <c r="O41" s="262"/>
      <c r="P41" s="256">
        <v>0</v>
      </c>
      <c r="Q41" s="41" t="e">
        <f>#REF!</f>
        <v>#REF!</v>
      </c>
      <c r="R41" s="256" t="e">
        <f t="shared" si="18"/>
        <v>#REF!</v>
      </c>
      <c r="S41" s="41">
        <f>Mailed!B44</f>
        <v>0</v>
      </c>
      <c r="T41" s="256">
        <f t="shared" si="14"/>
        <v>36435</v>
      </c>
      <c r="U41" s="270" t="e">
        <f t="shared" si="19"/>
        <v>#REF!</v>
      </c>
      <c r="V41" s="257" t="e">
        <f t="shared" si="3"/>
        <v>#REF!</v>
      </c>
      <c r="W41" s="275"/>
      <c r="X41" s="278"/>
      <c r="Y41" s="278"/>
      <c r="Z41" s="278"/>
      <c r="AA41" s="278"/>
      <c r="AB41" s="279"/>
      <c r="AC41" s="321"/>
    </row>
    <row r="42" spans="1:30" x14ac:dyDescent="0.2">
      <c r="A42" s="253">
        <v>36</v>
      </c>
      <c r="B42" s="256">
        <v>60</v>
      </c>
      <c r="C42" s="249">
        <f t="shared" si="10"/>
        <v>784</v>
      </c>
      <c r="D42" s="256">
        <v>58</v>
      </c>
      <c r="E42" s="256">
        <f t="shared" si="4"/>
        <v>3538</v>
      </c>
      <c r="F42" s="270">
        <f t="shared" si="11"/>
        <v>0.22159412097230075</v>
      </c>
      <c r="G42" s="257">
        <f t="shared" si="12"/>
        <v>0.44800000000000001</v>
      </c>
      <c r="H42" s="262"/>
      <c r="I42" s="256">
        <v>2848</v>
      </c>
      <c r="J42" s="256">
        <f t="shared" si="5"/>
        <v>19359</v>
      </c>
      <c r="K42" s="256">
        <v>694</v>
      </c>
      <c r="L42" s="256">
        <f t="shared" si="6"/>
        <v>35582</v>
      </c>
      <c r="M42" s="270">
        <f t="shared" si="9"/>
        <v>0.54406722500140525</v>
      </c>
      <c r="N42" s="257">
        <f t="shared" si="0"/>
        <v>0.65554840675899906</v>
      </c>
      <c r="O42" s="262"/>
      <c r="P42" s="256">
        <v>0</v>
      </c>
      <c r="Q42" s="41" t="e">
        <f>#REF!</f>
        <v>#REF!</v>
      </c>
      <c r="R42" s="256" t="e">
        <f t="shared" ref="R42:R43" si="20">SUM(P42:Q42,R41)</f>
        <v>#REF!</v>
      </c>
      <c r="S42" s="41">
        <f>Mailed!B45</f>
        <v>623</v>
      </c>
      <c r="T42" s="256">
        <f t="shared" si="14"/>
        <v>37058</v>
      </c>
      <c r="U42" s="270" t="e">
        <f t="shared" ref="U42:U43" si="21">R42/T42</f>
        <v>#REF!</v>
      </c>
      <c r="V42" s="257" t="e">
        <f t="shared" si="3"/>
        <v>#REF!</v>
      </c>
      <c r="W42" s="275"/>
      <c r="X42" s="278"/>
      <c r="Y42" s="278"/>
      <c r="Z42" s="278"/>
      <c r="AA42" s="278"/>
      <c r="AB42" s="279"/>
      <c r="AC42" s="321"/>
    </row>
    <row r="43" spans="1:30" x14ac:dyDescent="0.2">
      <c r="A43" s="253">
        <v>37</v>
      </c>
      <c r="B43" s="256">
        <v>5</v>
      </c>
      <c r="C43" s="249">
        <f t="shared" si="10"/>
        <v>789</v>
      </c>
      <c r="D43" s="256">
        <v>0</v>
      </c>
      <c r="E43" s="256">
        <f t="shared" si="4"/>
        <v>3538</v>
      </c>
      <c r="F43" s="270">
        <f t="shared" si="11"/>
        <v>0.22300734878462408</v>
      </c>
      <c r="G43" s="257">
        <f t="shared" si="12"/>
        <v>0.45085714285714285</v>
      </c>
      <c r="H43" s="262"/>
      <c r="I43" s="256">
        <v>76</v>
      </c>
      <c r="J43" s="256">
        <f t="shared" si="5"/>
        <v>19435</v>
      </c>
      <c r="K43" s="256">
        <v>2390</v>
      </c>
      <c r="L43" s="256">
        <f t="shared" si="6"/>
        <v>37972</v>
      </c>
      <c r="M43" s="270">
        <f t="shared" si="9"/>
        <v>0.51182450226482668</v>
      </c>
      <c r="N43" s="257">
        <f t="shared" si="0"/>
        <v>0.65812197351935253</v>
      </c>
      <c r="O43" s="262"/>
      <c r="P43" s="256">
        <v>901</v>
      </c>
      <c r="Q43" s="41" t="e">
        <f>#REF!</f>
        <v>#REF!</v>
      </c>
      <c r="R43" s="256" t="e">
        <f t="shared" si="20"/>
        <v>#REF!</v>
      </c>
      <c r="S43" s="41">
        <f>Mailed!B46</f>
        <v>0</v>
      </c>
      <c r="T43" s="256">
        <f t="shared" si="14"/>
        <v>37058</v>
      </c>
      <c r="U43" s="270" t="e">
        <f t="shared" si="21"/>
        <v>#REF!</v>
      </c>
      <c r="V43" s="257" t="e">
        <f t="shared" si="3"/>
        <v>#REF!</v>
      </c>
      <c r="W43" s="275"/>
      <c r="X43" s="278"/>
      <c r="Y43" s="278"/>
      <c r="Z43" s="278"/>
      <c r="AA43" s="278"/>
      <c r="AB43" s="279"/>
      <c r="AC43" s="321"/>
    </row>
    <row r="44" spans="1:30" x14ac:dyDescent="0.2">
      <c r="A44" s="253">
        <v>38</v>
      </c>
      <c r="B44" s="256">
        <v>0</v>
      </c>
      <c r="C44" s="249">
        <f t="shared" si="10"/>
        <v>789</v>
      </c>
      <c r="D44" s="256">
        <v>0</v>
      </c>
      <c r="E44" s="256">
        <f t="shared" si="4"/>
        <v>3538</v>
      </c>
      <c r="F44" s="270">
        <f t="shared" si="11"/>
        <v>0.22300734878462408</v>
      </c>
      <c r="G44" s="257">
        <f t="shared" si="12"/>
        <v>0.45085714285714285</v>
      </c>
      <c r="H44" s="262"/>
      <c r="I44" s="256">
        <v>1730</v>
      </c>
      <c r="J44" s="256">
        <f t="shared" si="5"/>
        <v>21165</v>
      </c>
      <c r="K44" s="256">
        <v>836</v>
      </c>
      <c r="L44" s="256">
        <f t="shared" si="6"/>
        <v>38808</v>
      </c>
      <c r="M44" s="270">
        <f t="shared" si="9"/>
        <v>0.54537724180581326</v>
      </c>
      <c r="N44" s="257">
        <f t="shared" si="0"/>
        <v>0.71670448003792619</v>
      </c>
      <c r="O44" s="262"/>
      <c r="P44" s="256">
        <v>5</v>
      </c>
      <c r="Q44" s="41" t="e">
        <f>#REF!</f>
        <v>#REF!</v>
      </c>
      <c r="R44" s="256" t="e">
        <f t="shared" ref="R44" si="22">SUM(P44:Q44,R43)</f>
        <v>#REF!</v>
      </c>
      <c r="S44" s="41">
        <f>Mailed!B47</f>
        <v>2</v>
      </c>
      <c r="T44" s="256">
        <f t="shared" si="14"/>
        <v>37060</v>
      </c>
      <c r="U44" s="270" t="e">
        <f t="shared" ref="U44" si="23">R44/T44</f>
        <v>#REF!</v>
      </c>
      <c r="V44" s="257" t="e">
        <f t="shared" si="3"/>
        <v>#REF!</v>
      </c>
      <c r="W44" s="275"/>
      <c r="X44" s="278"/>
      <c r="Y44" s="278"/>
      <c r="Z44" s="278"/>
      <c r="AA44" s="278"/>
      <c r="AB44" s="279"/>
      <c r="AC44" s="321"/>
    </row>
    <row r="45" spans="1:30" x14ac:dyDescent="0.2">
      <c r="A45" s="253">
        <v>39</v>
      </c>
      <c r="B45" s="256">
        <v>90</v>
      </c>
      <c r="C45" s="249">
        <f t="shared" si="10"/>
        <v>879</v>
      </c>
      <c r="D45" s="256">
        <v>130</v>
      </c>
      <c r="E45" s="256">
        <f t="shared" si="4"/>
        <v>3668</v>
      </c>
      <c r="F45" s="270">
        <f t="shared" si="11"/>
        <v>0.2396401308615049</v>
      </c>
      <c r="G45" s="257">
        <f t="shared" si="12"/>
        <v>0.50228571428571434</v>
      </c>
      <c r="H45" s="262"/>
      <c r="I45" s="256">
        <v>1136</v>
      </c>
      <c r="J45" s="256">
        <f t="shared" si="5"/>
        <v>22301</v>
      </c>
      <c r="K45" s="256">
        <v>2</v>
      </c>
      <c r="L45" s="256">
        <f t="shared" si="6"/>
        <v>38810</v>
      </c>
      <c r="M45" s="270">
        <f t="shared" si="9"/>
        <v>0.57461994331357902</v>
      </c>
      <c r="N45" s="257">
        <f t="shared" si="0"/>
        <v>0.75517253056110523</v>
      </c>
      <c r="O45" s="262"/>
      <c r="P45" s="256">
        <v>627</v>
      </c>
      <c r="Q45" s="41" t="e">
        <f>#REF!</f>
        <v>#REF!</v>
      </c>
      <c r="R45" s="256" t="e">
        <f t="shared" ref="R45" si="24">SUM(P45:Q45,R44)</f>
        <v>#REF!</v>
      </c>
      <c r="S45" s="41">
        <f>Mailed!B48</f>
        <v>1</v>
      </c>
      <c r="T45" s="256">
        <f t="shared" si="14"/>
        <v>37061</v>
      </c>
      <c r="U45" s="270" t="e">
        <f t="shared" ref="U45" si="25">R45/T45</f>
        <v>#REF!</v>
      </c>
      <c r="V45" s="257" t="e">
        <f t="shared" si="3"/>
        <v>#REF!</v>
      </c>
      <c r="W45" s="275"/>
      <c r="X45" s="278"/>
      <c r="Y45" s="278"/>
      <c r="Z45" s="278"/>
      <c r="AA45" s="278"/>
      <c r="AB45" s="279"/>
      <c r="AC45" s="321"/>
      <c r="AD45" s="273"/>
    </row>
    <row r="46" spans="1:30" x14ac:dyDescent="0.2">
      <c r="A46" s="253">
        <v>40</v>
      </c>
      <c r="B46" s="256">
        <v>150</v>
      </c>
      <c r="C46" s="249">
        <f t="shared" si="10"/>
        <v>1029</v>
      </c>
      <c r="D46" s="256">
        <v>226</v>
      </c>
      <c r="E46" s="256">
        <f t="shared" si="4"/>
        <v>3894</v>
      </c>
      <c r="F46" s="270">
        <f t="shared" si="11"/>
        <v>0.26425269645608629</v>
      </c>
      <c r="G46" s="257">
        <f t="shared" si="12"/>
        <v>0.58799999999999997</v>
      </c>
      <c r="H46" s="262"/>
      <c r="I46" s="256">
        <v>1080</v>
      </c>
      <c r="J46" s="256">
        <f t="shared" si="5"/>
        <v>23381</v>
      </c>
      <c r="K46" s="256">
        <v>0</v>
      </c>
      <c r="L46" s="256">
        <f t="shared" si="6"/>
        <v>38810</v>
      </c>
      <c r="M46" s="270">
        <f t="shared" si="9"/>
        <v>0.60244782272610153</v>
      </c>
      <c r="N46" s="257">
        <f t="shared" si="0"/>
        <v>0.79174426873455017</v>
      </c>
      <c r="O46" s="262"/>
      <c r="P46" s="256">
        <v>415</v>
      </c>
      <c r="Q46" s="41" t="e">
        <f>#REF!</f>
        <v>#REF!</v>
      </c>
      <c r="R46" s="256" t="e">
        <f t="shared" ref="R46" si="26">SUM(P46:Q46,R45)</f>
        <v>#REF!</v>
      </c>
      <c r="S46" s="41">
        <f>Mailed!B49</f>
        <v>2</v>
      </c>
      <c r="T46" s="256">
        <f t="shared" si="14"/>
        <v>37063</v>
      </c>
      <c r="U46" s="270" t="e">
        <f t="shared" ref="U46" si="27">R46/T46</f>
        <v>#REF!</v>
      </c>
      <c r="V46" s="257" t="e">
        <f t="shared" si="3"/>
        <v>#REF!</v>
      </c>
      <c r="W46" s="275"/>
      <c r="X46" s="278"/>
      <c r="Y46" s="278"/>
      <c r="Z46" s="278"/>
      <c r="AA46" s="278"/>
      <c r="AB46" s="279"/>
      <c r="AC46" s="279"/>
    </row>
    <row r="47" spans="1:30" x14ac:dyDescent="0.2">
      <c r="A47" s="253">
        <v>41</v>
      </c>
      <c r="B47" s="256">
        <v>102</v>
      </c>
      <c r="C47" s="249">
        <f t="shared" si="10"/>
        <v>1131</v>
      </c>
      <c r="D47" s="256">
        <v>161</v>
      </c>
      <c r="E47" s="256">
        <f>E46+D47</f>
        <v>4055</v>
      </c>
      <c r="F47" s="270">
        <f t="shared" si="11"/>
        <v>0.27891491985203454</v>
      </c>
      <c r="G47" s="257">
        <f t="shared" si="12"/>
        <v>0.64628571428571424</v>
      </c>
      <c r="H47" s="262"/>
      <c r="I47" s="256">
        <v>1112</v>
      </c>
      <c r="J47" s="256">
        <f t="shared" si="5"/>
        <v>24493</v>
      </c>
      <c r="K47" s="256">
        <v>0</v>
      </c>
      <c r="L47" s="256">
        <f t="shared" si="6"/>
        <v>38810</v>
      </c>
      <c r="M47" s="270">
        <f t="shared" si="9"/>
        <v>0.63110023189899511</v>
      </c>
      <c r="N47" s="257">
        <f t="shared" si="0"/>
        <v>0.82939961396498596</v>
      </c>
      <c r="O47" s="262"/>
      <c r="P47" s="256">
        <v>0</v>
      </c>
      <c r="Q47" s="41" t="e">
        <f>#REF!</f>
        <v>#REF!</v>
      </c>
      <c r="R47" s="256" t="e">
        <f t="shared" ref="R47" si="28">SUM(P47:Q47,R46)</f>
        <v>#REF!</v>
      </c>
      <c r="S47" s="41">
        <f>Mailed!B50</f>
        <v>3</v>
      </c>
      <c r="T47" s="256">
        <f t="shared" si="14"/>
        <v>37066</v>
      </c>
      <c r="U47" s="270" t="e">
        <f t="shared" ref="U47" si="29">R47/T47</f>
        <v>#REF!</v>
      </c>
      <c r="V47" s="257" t="e">
        <f t="shared" si="3"/>
        <v>#REF!</v>
      </c>
      <c r="W47" s="275"/>
      <c r="X47" s="278"/>
      <c r="Y47" s="278"/>
      <c r="Z47" s="278"/>
      <c r="AA47" s="278"/>
      <c r="AB47" s="279"/>
      <c r="AC47" s="279"/>
    </row>
    <row r="48" spans="1:30" x14ac:dyDescent="0.2">
      <c r="A48" s="253">
        <v>42</v>
      </c>
      <c r="B48" s="256">
        <v>106</v>
      </c>
      <c r="C48" s="249">
        <f t="shared" si="10"/>
        <v>1237</v>
      </c>
      <c r="D48" s="256">
        <v>0</v>
      </c>
      <c r="E48" s="256">
        <f t="shared" ref="E48:E53" si="30">E47+D48</f>
        <v>4055</v>
      </c>
      <c r="F48" s="270">
        <f t="shared" si="11"/>
        <v>0.30505548705302094</v>
      </c>
      <c r="G48" s="257">
        <f t="shared" si="12"/>
        <v>0.70685714285714285</v>
      </c>
      <c r="H48" s="262"/>
      <c r="I48" s="256">
        <v>0</v>
      </c>
      <c r="J48" s="256">
        <f t="shared" si="5"/>
        <v>24493</v>
      </c>
      <c r="K48" s="256">
        <v>0</v>
      </c>
      <c r="L48" s="256">
        <f t="shared" si="6"/>
        <v>38810</v>
      </c>
      <c r="M48" s="270">
        <f t="shared" si="9"/>
        <v>0.63110023189899511</v>
      </c>
      <c r="N48" s="257">
        <f t="shared" si="0"/>
        <v>0.82939961396498596</v>
      </c>
      <c r="O48" s="262"/>
      <c r="P48" s="256">
        <v>0</v>
      </c>
      <c r="Q48" s="41">
        <v>0</v>
      </c>
      <c r="R48" s="256" t="e">
        <f t="shared" ref="R48:R53" si="31">SUM(P48:Q48,R47)</f>
        <v>#REF!</v>
      </c>
      <c r="S48" s="41">
        <f>Mailed!B51</f>
        <v>0</v>
      </c>
      <c r="T48" s="256">
        <f t="shared" si="14"/>
        <v>37066</v>
      </c>
      <c r="U48" s="270" t="e">
        <f t="shared" ref="U48" si="32">R48/T48</f>
        <v>#REF!</v>
      </c>
      <c r="V48" s="257" t="e">
        <f t="shared" si="3"/>
        <v>#REF!</v>
      </c>
      <c r="W48" s="275"/>
      <c r="X48" s="280"/>
      <c r="Y48" s="278"/>
      <c r="Z48" s="278"/>
      <c r="AA48" s="278"/>
      <c r="AB48" s="279"/>
      <c r="AC48" s="279"/>
    </row>
    <row r="49" spans="1:29" x14ac:dyDescent="0.2">
      <c r="A49" s="253">
        <v>43</v>
      </c>
      <c r="B49" s="256">
        <v>88</v>
      </c>
      <c r="C49" s="249">
        <f t="shared" si="10"/>
        <v>1325</v>
      </c>
      <c r="D49" s="256">
        <v>0</v>
      </c>
      <c r="E49" s="256">
        <f t="shared" si="30"/>
        <v>4055</v>
      </c>
      <c r="F49" s="270">
        <f t="shared" si="11"/>
        <v>0.32675709001233044</v>
      </c>
      <c r="G49" s="257">
        <f t="shared" si="12"/>
        <v>0.75714285714285712</v>
      </c>
      <c r="H49" s="262"/>
      <c r="I49" s="256">
        <v>2708</v>
      </c>
      <c r="J49" s="256">
        <f t="shared" si="5"/>
        <v>27201</v>
      </c>
      <c r="K49" s="256">
        <v>0</v>
      </c>
      <c r="L49" s="256">
        <f t="shared" si="6"/>
        <v>38810</v>
      </c>
      <c r="M49" s="270">
        <f t="shared" si="9"/>
        <v>0.70087606287039428</v>
      </c>
      <c r="N49" s="257">
        <f t="shared" si="0"/>
        <v>0.92109986116284581</v>
      </c>
      <c r="O49" s="262"/>
      <c r="P49" s="256">
        <v>880</v>
      </c>
      <c r="Q49" s="41" t="e">
        <f>#REF!</f>
        <v>#REF!</v>
      </c>
      <c r="R49" s="256" t="e">
        <f t="shared" si="31"/>
        <v>#REF!</v>
      </c>
      <c r="S49" s="41" t="e">
        <f>Mailed!#REF!</f>
        <v>#REF!</v>
      </c>
      <c r="T49" s="256" t="e">
        <f t="shared" si="14"/>
        <v>#REF!</v>
      </c>
      <c r="U49" s="270" t="e">
        <f t="shared" ref="U49" si="33">R49/T49</f>
        <v>#REF!</v>
      </c>
      <c r="V49" s="257" t="e">
        <f t="shared" si="3"/>
        <v>#REF!</v>
      </c>
      <c r="W49" s="275"/>
      <c r="X49" s="280"/>
      <c r="Y49" s="278"/>
      <c r="Z49" s="278"/>
      <c r="AA49" s="278"/>
      <c r="AB49" s="279"/>
      <c r="AC49" s="279"/>
    </row>
    <row r="50" spans="1:29" x14ac:dyDescent="0.2">
      <c r="A50" s="253">
        <v>44</v>
      </c>
      <c r="B50" s="256">
        <v>129</v>
      </c>
      <c r="C50" s="249">
        <f t="shared" si="10"/>
        <v>1454</v>
      </c>
      <c r="D50" s="256">
        <v>0</v>
      </c>
      <c r="E50" s="256">
        <f t="shared" si="30"/>
        <v>4055</v>
      </c>
      <c r="F50" s="270">
        <f t="shared" si="11"/>
        <v>0.3585696670776819</v>
      </c>
      <c r="G50" s="257">
        <f t="shared" si="12"/>
        <v>0.83085714285714285</v>
      </c>
      <c r="H50" s="262"/>
      <c r="I50" s="256">
        <v>2330</v>
      </c>
      <c r="J50" s="256">
        <f t="shared" si="5"/>
        <v>29531</v>
      </c>
      <c r="K50" s="256"/>
      <c r="L50" s="256">
        <f t="shared" si="6"/>
        <v>38810</v>
      </c>
      <c r="M50" s="270">
        <f t="shared" si="9"/>
        <v>0.76091213604741048</v>
      </c>
      <c r="N50" s="257">
        <f t="shared" si="0"/>
        <v>1</v>
      </c>
      <c r="O50" s="262"/>
      <c r="P50" s="256">
        <v>8</v>
      </c>
      <c r="Q50" s="41" t="e">
        <f>#REF!</f>
        <v>#REF!</v>
      </c>
      <c r="R50" s="256" t="e">
        <f t="shared" si="31"/>
        <v>#REF!</v>
      </c>
      <c r="S50" s="41">
        <v>0</v>
      </c>
      <c r="T50" s="256" t="e">
        <f t="shared" si="14"/>
        <v>#REF!</v>
      </c>
      <c r="U50" s="270" t="e">
        <f t="shared" ref="U50" si="34">R50/T50</f>
        <v>#REF!</v>
      </c>
      <c r="V50" s="257" t="e">
        <f t="shared" si="3"/>
        <v>#REF!</v>
      </c>
      <c r="W50" s="275"/>
      <c r="X50" s="281"/>
      <c r="Y50" s="278"/>
      <c r="Z50" s="278"/>
      <c r="AA50" s="278"/>
      <c r="AB50" s="279"/>
      <c r="AC50" s="279"/>
    </row>
    <row r="51" spans="1:29" x14ac:dyDescent="0.2">
      <c r="A51" s="253">
        <v>45</v>
      </c>
      <c r="B51" s="256">
        <v>0</v>
      </c>
      <c r="C51" s="249">
        <f t="shared" si="10"/>
        <v>1454</v>
      </c>
      <c r="D51" s="256">
        <v>0</v>
      </c>
      <c r="E51" s="256">
        <f t="shared" si="30"/>
        <v>4055</v>
      </c>
      <c r="F51" s="270">
        <f t="shared" si="11"/>
        <v>0.3585696670776819</v>
      </c>
      <c r="G51" s="257">
        <f t="shared" si="12"/>
        <v>0.83085714285714285</v>
      </c>
      <c r="H51" s="262"/>
      <c r="I51" s="256"/>
      <c r="J51" s="256">
        <f t="shared" si="5"/>
        <v>29531</v>
      </c>
      <c r="K51" s="256"/>
      <c r="L51" s="256">
        <f t="shared" si="6"/>
        <v>38810</v>
      </c>
      <c r="M51" s="270">
        <f t="shared" si="9"/>
        <v>0.76091213604741048</v>
      </c>
      <c r="N51" s="257">
        <f t="shared" si="0"/>
        <v>1</v>
      </c>
      <c r="O51" s="262"/>
      <c r="P51" s="256">
        <v>387</v>
      </c>
      <c r="Q51" s="41">
        <v>0</v>
      </c>
      <c r="R51" s="256" t="e">
        <f t="shared" si="31"/>
        <v>#REF!</v>
      </c>
      <c r="S51" s="41">
        <v>0</v>
      </c>
      <c r="T51" s="256" t="e">
        <f t="shared" ref="T51" si="35">T50+S51</f>
        <v>#REF!</v>
      </c>
      <c r="U51" s="270" t="e">
        <f t="shared" ref="U51" si="36">R51/T51</f>
        <v>#REF!</v>
      </c>
      <c r="V51" s="257" t="e">
        <f t="shared" si="3"/>
        <v>#REF!</v>
      </c>
      <c r="W51" s="275"/>
      <c r="X51" s="281"/>
      <c r="Y51" s="278"/>
      <c r="Z51" s="278"/>
      <c r="AA51" s="278"/>
      <c r="AB51" s="279"/>
      <c r="AC51" s="279"/>
    </row>
    <row r="52" spans="1:29" x14ac:dyDescent="0.2">
      <c r="A52" s="253">
        <v>46</v>
      </c>
      <c r="B52" s="256">
        <v>49</v>
      </c>
      <c r="C52" s="249">
        <f t="shared" si="10"/>
        <v>1503</v>
      </c>
      <c r="D52" s="256">
        <v>0</v>
      </c>
      <c r="E52" s="256">
        <f t="shared" si="30"/>
        <v>4055</v>
      </c>
      <c r="F52" s="270">
        <f t="shared" si="11"/>
        <v>0.37065351418002468</v>
      </c>
      <c r="G52" s="257">
        <f t="shared" si="12"/>
        <v>0.85885714285714287</v>
      </c>
      <c r="H52" s="266"/>
      <c r="I52" s="256"/>
      <c r="J52" s="256">
        <f t="shared" si="5"/>
        <v>29531</v>
      </c>
      <c r="K52" s="256"/>
      <c r="L52" s="256">
        <f t="shared" si="6"/>
        <v>38810</v>
      </c>
      <c r="M52" s="270">
        <f t="shared" si="9"/>
        <v>0.76091213604741048</v>
      </c>
      <c r="N52" s="257">
        <f t="shared" si="0"/>
        <v>1</v>
      </c>
      <c r="O52" s="262"/>
      <c r="P52" s="256">
        <v>224</v>
      </c>
      <c r="Q52" s="41">
        <v>0</v>
      </c>
      <c r="R52" s="256" t="e">
        <f t="shared" si="31"/>
        <v>#REF!</v>
      </c>
      <c r="S52" s="41">
        <v>0</v>
      </c>
      <c r="T52" s="256" t="e">
        <f t="shared" ref="T52" si="37">T51+S52</f>
        <v>#REF!</v>
      </c>
      <c r="U52" s="270" t="e">
        <f t="shared" ref="U52" si="38">R52/T52</f>
        <v>#REF!</v>
      </c>
      <c r="V52" s="257" t="e">
        <f t="shared" si="3"/>
        <v>#REF!</v>
      </c>
      <c r="W52" s="275"/>
      <c r="X52" s="278"/>
      <c r="Y52" s="278"/>
      <c r="Z52" s="278"/>
      <c r="AA52" s="278"/>
      <c r="AB52" s="279"/>
      <c r="AC52" s="279"/>
    </row>
    <row r="53" spans="1:29" s="94" customFormat="1" ht="15" thickBot="1" x14ac:dyDescent="0.25">
      <c r="A53" s="326">
        <v>47</v>
      </c>
      <c r="B53" s="258">
        <v>247</v>
      </c>
      <c r="C53" s="251">
        <f t="shared" si="10"/>
        <v>1750</v>
      </c>
      <c r="D53" s="258">
        <v>0</v>
      </c>
      <c r="E53" s="258">
        <f t="shared" si="30"/>
        <v>4055</v>
      </c>
      <c r="F53" s="271">
        <f t="shared" si="11"/>
        <v>0.43156596794081381</v>
      </c>
      <c r="G53" s="257">
        <f t="shared" si="12"/>
        <v>1</v>
      </c>
      <c r="H53" s="327"/>
      <c r="I53" s="258"/>
      <c r="J53" s="258">
        <f t="shared" si="5"/>
        <v>29531</v>
      </c>
      <c r="K53" s="258"/>
      <c r="L53" s="258">
        <f t="shared" si="6"/>
        <v>38810</v>
      </c>
      <c r="M53" s="271">
        <f t="shared" si="9"/>
        <v>0.76091213604741048</v>
      </c>
      <c r="N53" s="259">
        <f t="shared" si="0"/>
        <v>1</v>
      </c>
      <c r="O53" s="328"/>
      <c r="P53" s="258" t="e">
        <f>#REF!</f>
        <v>#REF!</v>
      </c>
      <c r="Q53" s="329">
        <v>0</v>
      </c>
      <c r="R53" s="258" t="e">
        <f t="shared" si="31"/>
        <v>#REF!</v>
      </c>
      <c r="S53" s="329">
        <v>1</v>
      </c>
      <c r="T53" s="258" t="e">
        <f t="shared" ref="T53" si="39">T52+S53</f>
        <v>#REF!</v>
      </c>
      <c r="U53" s="271" t="e">
        <f t="shared" ref="U53" si="40">R53/T53</f>
        <v>#REF!</v>
      </c>
      <c r="V53" s="259" t="e">
        <f t="shared" si="3"/>
        <v>#REF!</v>
      </c>
      <c r="W53" s="278"/>
      <c r="X53" s="278"/>
      <c r="Y53" s="278"/>
      <c r="Z53" s="278"/>
      <c r="AA53" s="278"/>
      <c r="AB53" s="279"/>
      <c r="AC53" s="279"/>
    </row>
    <row r="54" spans="1:29" x14ac:dyDescent="0.2">
      <c r="A54" s="253" t="s">
        <v>68</v>
      </c>
      <c r="B54" s="256">
        <f>SUM(B7:B53)</f>
        <v>1750</v>
      </c>
      <c r="C54" s="249"/>
      <c r="D54" s="256">
        <f>SUM(D7:D53)</f>
        <v>4055</v>
      </c>
      <c r="E54" s="256"/>
      <c r="F54" s="256"/>
      <c r="G54" s="257">
        <f>B54/D54</f>
        <v>0.43156596794081381</v>
      </c>
      <c r="H54" s="262"/>
      <c r="I54" s="256">
        <f>SUM(I7:I53)</f>
        <v>29531</v>
      </c>
      <c r="J54" s="256"/>
      <c r="K54" s="256">
        <v>38810</v>
      </c>
      <c r="L54" s="256"/>
      <c r="M54" s="256"/>
      <c r="N54" s="257"/>
      <c r="O54" s="262"/>
      <c r="P54" s="256" t="e">
        <f>SUM(P7:P53)</f>
        <v>#REF!</v>
      </c>
      <c r="Q54" s="256" t="e">
        <f>SUM(Q7:Q53)</f>
        <v>#REF!</v>
      </c>
      <c r="R54" s="256"/>
      <c r="S54" s="256" t="e">
        <f>SUM(S7:S53)</f>
        <v>#REF!</v>
      </c>
      <c r="T54" s="256"/>
      <c r="U54" s="256"/>
      <c r="V54" s="256"/>
      <c r="W54" s="275"/>
      <c r="X54" s="278"/>
      <c r="Y54" s="278"/>
      <c r="Z54" s="278"/>
      <c r="AA54" s="278"/>
      <c r="AB54" s="279"/>
      <c r="AC54" s="278"/>
    </row>
    <row r="57" spans="1:29" x14ac:dyDescent="0.2">
      <c r="I57" s="273"/>
      <c r="L57" s="273"/>
    </row>
    <row r="59" spans="1:29" x14ac:dyDescent="0.2">
      <c r="K59" s="273"/>
      <c r="L59" s="273"/>
      <c r="M59" s="273"/>
    </row>
    <row r="60" spans="1:29" x14ac:dyDescent="0.2">
      <c r="K60" s="273"/>
      <c r="L60" s="273"/>
      <c r="M60" s="273"/>
    </row>
    <row r="64" spans="1:29" x14ac:dyDescent="0.2">
      <c r="F64" s="274"/>
      <c r="G64" s="274"/>
      <c r="H64" s="274"/>
      <c r="I64" s="274"/>
      <c r="L64" s="273"/>
      <c r="P64" s="273"/>
    </row>
  </sheetData>
  <mergeCells count="5">
    <mergeCell ref="P5:V5"/>
    <mergeCell ref="I5:N5"/>
    <mergeCell ref="B5:G5"/>
    <mergeCell ref="A1:J1"/>
    <mergeCell ref="X5:AC5"/>
  </mergeCells>
  <pageMargins left="0.7" right="0.7" top="0.75" bottom="0.75" header="0.3" footer="0.3"/>
  <pageSetup orientation="portrait" horizontalDpi="1200" verticalDpi="12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6BC55-6DB0-4715-9FFA-657494B61C1E}">
  <dimension ref="A1:I49"/>
  <sheetViews>
    <sheetView showGridLines="0" workbookViewId="0">
      <selection activeCell="B49" sqref="B49"/>
    </sheetView>
  </sheetViews>
  <sheetFormatPr defaultRowHeight="14.25" x14ac:dyDescent="0.2"/>
  <cols>
    <col min="4" max="4" width="3.625" customWidth="1"/>
    <col min="5" max="5" width="9.375" customWidth="1"/>
    <col min="7" max="7" width="3.625" customWidth="1"/>
    <col min="10" max="10" width="3.625" customWidth="1"/>
  </cols>
  <sheetData>
    <row r="1" spans="1:9" ht="75" customHeight="1" x14ac:dyDescent="0.2">
      <c r="A1" s="609" t="s">
        <v>45</v>
      </c>
      <c r="B1" s="609"/>
      <c r="C1" s="609"/>
      <c r="D1" s="609"/>
      <c r="E1" s="609"/>
      <c r="F1" s="609"/>
      <c r="G1" s="609"/>
      <c r="H1" s="609"/>
      <c r="I1" s="609"/>
    </row>
    <row r="2" spans="1:9" ht="48.75" customHeight="1" x14ac:dyDescent="0.25">
      <c r="A2" s="140"/>
      <c r="B2" s="613" t="s">
        <v>46</v>
      </c>
      <c r="C2" s="614"/>
      <c r="E2" s="617" t="s">
        <v>57</v>
      </c>
      <c r="F2" s="618"/>
      <c r="H2" s="615" t="s">
        <v>47</v>
      </c>
      <c r="I2" s="616"/>
    </row>
    <row r="3" spans="1:9" ht="45.75" thickBot="1" x14ac:dyDescent="0.3">
      <c r="A3" s="139" t="s">
        <v>39</v>
      </c>
      <c r="B3" s="213" t="s">
        <v>40</v>
      </c>
      <c r="C3" s="214" t="s">
        <v>44</v>
      </c>
      <c r="D3" s="37"/>
      <c r="E3" s="215" t="s">
        <v>40</v>
      </c>
      <c r="F3" s="216" t="s">
        <v>42</v>
      </c>
      <c r="G3" s="37"/>
      <c r="H3" s="217" t="s">
        <v>40</v>
      </c>
      <c r="I3" s="216" t="s">
        <v>43</v>
      </c>
    </row>
    <row r="4" spans="1:9" ht="15" x14ac:dyDescent="0.25">
      <c r="A4" s="126">
        <v>1</v>
      </c>
      <c r="B4" s="136">
        <v>8</v>
      </c>
      <c r="C4" s="131">
        <f>B4</f>
        <v>8</v>
      </c>
      <c r="E4" s="136">
        <v>4</v>
      </c>
      <c r="F4" s="131">
        <f>E4</f>
        <v>4</v>
      </c>
      <c r="H4" s="136" t="e">
        <f>#REF!</f>
        <v>#REF!</v>
      </c>
      <c r="I4" s="131" t="e">
        <f>H4</f>
        <v>#REF!</v>
      </c>
    </row>
    <row r="5" spans="1:9" x14ac:dyDescent="0.2">
      <c r="A5" s="109">
        <v>2</v>
      </c>
      <c r="B5" s="105">
        <v>5</v>
      </c>
      <c r="C5" s="112">
        <f>C4+B5</f>
        <v>13</v>
      </c>
      <c r="E5" s="105">
        <v>0</v>
      </c>
      <c r="F5" s="112">
        <f>F4+E5</f>
        <v>4</v>
      </c>
      <c r="H5" s="206" t="e">
        <f>#REF!</f>
        <v>#REF!</v>
      </c>
      <c r="I5" s="112" t="e">
        <f>I4+H5</f>
        <v>#REF!</v>
      </c>
    </row>
    <row r="6" spans="1:9" x14ac:dyDescent="0.2">
      <c r="A6" s="109">
        <v>3</v>
      </c>
      <c r="B6" s="105">
        <v>0</v>
      </c>
      <c r="C6" s="112">
        <f t="shared" ref="C6:C47" si="0">C5+B6</f>
        <v>13</v>
      </c>
      <c r="E6" s="105">
        <v>0</v>
      </c>
      <c r="F6" s="112">
        <f t="shared" ref="F6:F47" si="1">F5+E6</f>
        <v>4</v>
      </c>
      <c r="H6" s="206" t="e">
        <f>#REF!</f>
        <v>#REF!</v>
      </c>
      <c r="I6" s="112" t="e">
        <f t="shared" ref="I6:I43" si="2">I5+H6</f>
        <v>#REF!</v>
      </c>
    </row>
    <row r="7" spans="1:9" x14ac:dyDescent="0.2">
      <c r="A7" s="109">
        <v>4</v>
      </c>
      <c r="B7" s="105">
        <v>10</v>
      </c>
      <c r="C7" s="112">
        <f t="shared" si="0"/>
        <v>23</v>
      </c>
      <c r="E7" s="105">
        <v>4</v>
      </c>
      <c r="F7" s="112">
        <f t="shared" si="1"/>
        <v>8</v>
      </c>
      <c r="H7" s="206" t="e">
        <f>#REF!</f>
        <v>#REF!</v>
      </c>
      <c r="I7" s="112" t="e">
        <f t="shared" si="2"/>
        <v>#REF!</v>
      </c>
    </row>
    <row r="8" spans="1:9" x14ac:dyDescent="0.2">
      <c r="A8" s="109">
        <v>5</v>
      </c>
      <c r="B8" s="105">
        <v>4</v>
      </c>
      <c r="C8" s="112">
        <f t="shared" si="0"/>
        <v>27</v>
      </c>
      <c r="E8" s="105">
        <v>3</v>
      </c>
      <c r="F8" s="112">
        <f t="shared" si="1"/>
        <v>11</v>
      </c>
      <c r="H8" s="206" t="e">
        <f>#REF!</f>
        <v>#REF!</v>
      </c>
      <c r="I8" s="112" t="e">
        <f t="shared" si="2"/>
        <v>#REF!</v>
      </c>
    </row>
    <row r="9" spans="1:9" x14ac:dyDescent="0.2">
      <c r="A9" s="109">
        <v>6</v>
      </c>
      <c r="B9" s="105">
        <v>17</v>
      </c>
      <c r="C9" s="112">
        <f t="shared" si="0"/>
        <v>44</v>
      </c>
      <c r="D9" t="s">
        <v>41</v>
      </c>
      <c r="E9" s="105">
        <v>6</v>
      </c>
      <c r="F9" s="112">
        <f t="shared" si="1"/>
        <v>17</v>
      </c>
      <c r="H9" s="206" t="e">
        <f>#REF!</f>
        <v>#REF!</v>
      </c>
      <c r="I9" s="112" t="e">
        <f t="shared" si="2"/>
        <v>#REF!</v>
      </c>
    </row>
    <row r="10" spans="1:9" x14ac:dyDescent="0.2">
      <c r="A10" s="109">
        <v>7</v>
      </c>
      <c r="B10" s="105">
        <v>8</v>
      </c>
      <c r="C10" s="112">
        <f t="shared" si="0"/>
        <v>52</v>
      </c>
      <c r="E10" s="105">
        <v>0</v>
      </c>
      <c r="F10" s="112">
        <f t="shared" si="1"/>
        <v>17</v>
      </c>
      <c r="H10" s="206" t="e">
        <f>#REF!</f>
        <v>#REF!</v>
      </c>
      <c r="I10" s="112" t="e">
        <f t="shared" si="2"/>
        <v>#REF!</v>
      </c>
    </row>
    <row r="11" spans="1:9" x14ac:dyDescent="0.2">
      <c r="A11" s="109">
        <v>8</v>
      </c>
      <c r="B11" s="105">
        <v>12</v>
      </c>
      <c r="C11" s="112">
        <f t="shared" si="0"/>
        <v>64</v>
      </c>
      <c r="E11" s="105">
        <v>4</v>
      </c>
      <c r="F11" s="112">
        <f t="shared" si="1"/>
        <v>21</v>
      </c>
      <c r="H11" s="206" t="e">
        <f>#REF!</f>
        <v>#REF!</v>
      </c>
      <c r="I11" s="112" t="e">
        <f t="shared" si="2"/>
        <v>#REF!</v>
      </c>
    </row>
    <row r="12" spans="1:9" x14ac:dyDescent="0.2">
      <c r="A12" s="109">
        <v>9</v>
      </c>
      <c r="B12" s="105">
        <v>0</v>
      </c>
      <c r="C12" s="112">
        <f t="shared" si="0"/>
        <v>64</v>
      </c>
      <c r="E12" s="105">
        <v>0</v>
      </c>
      <c r="F12" s="112">
        <f t="shared" si="1"/>
        <v>21</v>
      </c>
      <c r="H12" s="206" t="e">
        <f>#REF!</f>
        <v>#REF!</v>
      </c>
      <c r="I12" s="112" t="e">
        <f t="shared" si="2"/>
        <v>#REF!</v>
      </c>
    </row>
    <row r="13" spans="1:9" x14ac:dyDescent="0.2">
      <c r="A13" s="109">
        <v>10</v>
      </c>
      <c r="B13" s="105">
        <v>0</v>
      </c>
      <c r="C13" s="112">
        <f t="shared" si="0"/>
        <v>64</v>
      </c>
      <c r="E13" s="105">
        <v>0</v>
      </c>
      <c r="F13" s="112">
        <f t="shared" si="1"/>
        <v>21</v>
      </c>
      <c r="H13" s="206" t="e">
        <f>#REF!</f>
        <v>#REF!</v>
      </c>
      <c r="I13" s="112" t="e">
        <f t="shared" si="2"/>
        <v>#REF!</v>
      </c>
    </row>
    <row r="14" spans="1:9" x14ac:dyDescent="0.2">
      <c r="A14" s="109">
        <v>11</v>
      </c>
      <c r="B14" s="105">
        <v>21</v>
      </c>
      <c r="C14" s="112">
        <f t="shared" si="0"/>
        <v>85</v>
      </c>
      <c r="E14" s="105">
        <v>1</v>
      </c>
      <c r="F14" s="112">
        <f t="shared" si="1"/>
        <v>22</v>
      </c>
      <c r="H14" s="206" t="e">
        <f>#REF!</f>
        <v>#REF!</v>
      </c>
      <c r="I14" s="112" t="e">
        <f t="shared" si="2"/>
        <v>#REF!</v>
      </c>
    </row>
    <row r="15" spans="1:9" x14ac:dyDescent="0.2">
      <c r="A15" s="109">
        <v>12</v>
      </c>
      <c r="B15" s="105">
        <v>15</v>
      </c>
      <c r="C15" s="112">
        <f t="shared" si="0"/>
        <v>100</v>
      </c>
      <c r="E15" s="105">
        <v>1</v>
      </c>
      <c r="F15" s="112">
        <f t="shared" si="1"/>
        <v>23</v>
      </c>
      <c r="H15" s="206" t="e">
        <f>#REF!</f>
        <v>#REF!</v>
      </c>
      <c r="I15" s="112" t="e">
        <f t="shared" si="2"/>
        <v>#REF!</v>
      </c>
    </row>
    <row r="16" spans="1:9" x14ac:dyDescent="0.2">
      <c r="A16" s="109">
        <v>13</v>
      </c>
      <c r="B16" s="105">
        <v>15</v>
      </c>
      <c r="C16" s="112">
        <f t="shared" si="0"/>
        <v>115</v>
      </c>
      <c r="E16" s="105">
        <v>3</v>
      </c>
      <c r="F16" s="112">
        <f t="shared" si="1"/>
        <v>26</v>
      </c>
      <c r="H16" s="206" t="e">
        <f>#REF!</f>
        <v>#REF!</v>
      </c>
      <c r="I16" s="112" t="e">
        <f t="shared" si="2"/>
        <v>#REF!</v>
      </c>
    </row>
    <row r="17" spans="1:9" x14ac:dyDescent="0.2">
      <c r="A17" s="109">
        <v>14</v>
      </c>
      <c r="B17" s="105">
        <v>11</v>
      </c>
      <c r="C17" s="112">
        <f t="shared" si="0"/>
        <v>126</v>
      </c>
      <c r="E17" s="105">
        <v>5</v>
      </c>
      <c r="F17" s="112">
        <f t="shared" si="1"/>
        <v>31</v>
      </c>
      <c r="H17" s="206" t="e">
        <f>#REF!</f>
        <v>#REF!</v>
      </c>
      <c r="I17" s="112" t="e">
        <f t="shared" si="2"/>
        <v>#REF!</v>
      </c>
    </row>
    <row r="18" spans="1:9" x14ac:dyDescent="0.2">
      <c r="A18" s="109">
        <v>15</v>
      </c>
      <c r="B18" s="105">
        <v>8</v>
      </c>
      <c r="C18" s="112">
        <f t="shared" si="0"/>
        <v>134</v>
      </c>
      <c r="E18" s="105">
        <v>1</v>
      </c>
      <c r="F18" s="112">
        <f t="shared" si="1"/>
        <v>32</v>
      </c>
      <c r="H18" s="206" t="e">
        <f>#REF!</f>
        <v>#REF!</v>
      </c>
      <c r="I18" s="112" t="e">
        <f t="shared" si="2"/>
        <v>#REF!</v>
      </c>
    </row>
    <row r="19" spans="1:9" x14ac:dyDescent="0.2">
      <c r="A19" s="109">
        <v>16</v>
      </c>
      <c r="B19" s="105">
        <v>0</v>
      </c>
      <c r="C19" s="112">
        <f t="shared" si="0"/>
        <v>134</v>
      </c>
      <c r="E19" s="105">
        <v>0</v>
      </c>
      <c r="F19" s="112">
        <f t="shared" si="1"/>
        <v>32</v>
      </c>
      <c r="H19" s="105">
        <v>0</v>
      </c>
      <c r="I19" s="112" t="e">
        <f t="shared" si="2"/>
        <v>#REF!</v>
      </c>
    </row>
    <row r="20" spans="1:9" x14ac:dyDescent="0.2">
      <c r="A20" s="109">
        <v>17</v>
      </c>
      <c r="B20" s="105">
        <v>0</v>
      </c>
      <c r="C20" s="112">
        <f t="shared" si="0"/>
        <v>134</v>
      </c>
      <c r="E20" s="105">
        <v>0</v>
      </c>
      <c r="F20" s="112">
        <f t="shared" si="1"/>
        <v>32</v>
      </c>
      <c r="H20" s="105">
        <v>0</v>
      </c>
      <c r="I20" s="112" t="e">
        <f t="shared" si="2"/>
        <v>#REF!</v>
      </c>
    </row>
    <row r="21" spans="1:9" x14ac:dyDescent="0.2">
      <c r="A21" s="109">
        <v>18</v>
      </c>
      <c r="B21" s="105">
        <v>14</v>
      </c>
      <c r="C21" s="112">
        <f t="shared" si="0"/>
        <v>148</v>
      </c>
      <c r="E21" s="105">
        <v>0</v>
      </c>
      <c r="F21" s="112">
        <f t="shared" si="1"/>
        <v>32</v>
      </c>
      <c r="H21" s="105" t="e">
        <f>#REF!</f>
        <v>#REF!</v>
      </c>
      <c r="I21" s="112" t="e">
        <f t="shared" si="2"/>
        <v>#REF!</v>
      </c>
    </row>
    <row r="22" spans="1:9" x14ac:dyDescent="0.2">
      <c r="A22" s="109">
        <v>19</v>
      </c>
      <c r="B22" s="105">
        <v>28</v>
      </c>
      <c r="C22" s="112">
        <f t="shared" si="0"/>
        <v>176</v>
      </c>
      <c r="E22" s="105">
        <v>2</v>
      </c>
      <c r="F22" s="112">
        <f t="shared" si="1"/>
        <v>34</v>
      </c>
      <c r="H22" s="105" t="e">
        <f>#REF!</f>
        <v>#REF!</v>
      </c>
      <c r="I22" s="112" t="e">
        <f t="shared" si="2"/>
        <v>#REF!</v>
      </c>
    </row>
    <row r="23" spans="1:9" x14ac:dyDescent="0.2">
      <c r="A23" s="109">
        <v>20</v>
      </c>
      <c r="B23" s="105">
        <v>16</v>
      </c>
      <c r="C23" s="112">
        <f t="shared" si="0"/>
        <v>192</v>
      </c>
      <c r="E23" s="105">
        <v>7</v>
      </c>
      <c r="F23" s="112">
        <f t="shared" si="1"/>
        <v>41</v>
      </c>
      <c r="H23" s="105" t="e">
        <f>#REF!</f>
        <v>#REF!</v>
      </c>
      <c r="I23" s="112" t="e">
        <f t="shared" si="2"/>
        <v>#REF!</v>
      </c>
    </row>
    <row r="24" spans="1:9" x14ac:dyDescent="0.2">
      <c r="A24" s="109">
        <v>21</v>
      </c>
      <c r="B24" s="105">
        <v>37</v>
      </c>
      <c r="C24" s="112">
        <f t="shared" si="0"/>
        <v>229</v>
      </c>
      <c r="E24" s="105">
        <v>1</v>
      </c>
      <c r="F24" s="112">
        <f t="shared" si="1"/>
        <v>42</v>
      </c>
      <c r="H24" s="105" t="e">
        <f>#REF!</f>
        <v>#REF!</v>
      </c>
      <c r="I24" s="112" t="e">
        <f t="shared" si="2"/>
        <v>#REF!</v>
      </c>
    </row>
    <row r="25" spans="1:9" x14ac:dyDescent="0.2">
      <c r="A25" s="109">
        <v>22</v>
      </c>
      <c r="B25" s="105">
        <v>25</v>
      </c>
      <c r="C25" s="112">
        <f t="shared" si="0"/>
        <v>254</v>
      </c>
      <c r="E25" s="105">
        <v>8</v>
      </c>
      <c r="F25" s="112">
        <f t="shared" si="1"/>
        <v>50</v>
      </c>
      <c r="H25" s="105" t="e">
        <f>#REF!</f>
        <v>#REF!</v>
      </c>
      <c r="I25" s="112" t="e">
        <f t="shared" si="2"/>
        <v>#REF!</v>
      </c>
    </row>
    <row r="26" spans="1:9" x14ac:dyDescent="0.2">
      <c r="A26" s="109">
        <v>23</v>
      </c>
      <c r="B26" s="105">
        <v>0</v>
      </c>
      <c r="C26" s="112">
        <f t="shared" si="0"/>
        <v>254</v>
      </c>
      <c r="E26" s="105">
        <v>0</v>
      </c>
      <c r="F26" s="112">
        <f t="shared" si="1"/>
        <v>50</v>
      </c>
      <c r="H26" s="105">
        <v>0</v>
      </c>
      <c r="I26" s="112" t="e">
        <f t="shared" si="2"/>
        <v>#REF!</v>
      </c>
    </row>
    <row r="27" spans="1:9" x14ac:dyDescent="0.2">
      <c r="A27" s="109">
        <v>24</v>
      </c>
      <c r="B27" s="105">
        <v>0</v>
      </c>
      <c r="C27" s="112">
        <f t="shared" si="0"/>
        <v>254</v>
      </c>
      <c r="E27" s="105">
        <v>0</v>
      </c>
      <c r="F27" s="112">
        <f t="shared" si="1"/>
        <v>50</v>
      </c>
      <c r="H27" s="105">
        <v>0</v>
      </c>
      <c r="I27" s="112" t="e">
        <f t="shared" si="2"/>
        <v>#REF!</v>
      </c>
    </row>
    <row r="28" spans="1:9" x14ac:dyDescent="0.2">
      <c r="A28" s="109">
        <v>25</v>
      </c>
      <c r="B28" s="105">
        <v>41</v>
      </c>
      <c r="C28" s="112">
        <f t="shared" si="0"/>
        <v>295</v>
      </c>
      <c r="E28" s="105">
        <v>3</v>
      </c>
      <c r="F28" s="112">
        <f t="shared" si="1"/>
        <v>53</v>
      </c>
      <c r="H28" s="105" t="e">
        <f>#REF!</f>
        <v>#REF!</v>
      </c>
      <c r="I28" s="112" t="e">
        <f t="shared" si="2"/>
        <v>#REF!</v>
      </c>
    </row>
    <row r="29" spans="1:9" x14ac:dyDescent="0.2">
      <c r="A29" s="109">
        <v>26</v>
      </c>
      <c r="B29" s="105">
        <v>29</v>
      </c>
      <c r="C29" s="112">
        <f t="shared" si="0"/>
        <v>324</v>
      </c>
      <c r="E29" s="105">
        <v>8</v>
      </c>
      <c r="F29" s="112">
        <f t="shared" si="1"/>
        <v>61</v>
      </c>
      <c r="H29" s="105" t="e">
        <f>#REF!</f>
        <v>#REF!</v>
      </c>
      <c r="I29" s="112" t="e">
        <f t="shared" si="2"/>
        <v>#REF!</v>
      </c>
    </row>
    <row r="30" spans="1:9" x14ac:dyDescent="0.2">
      <c r="A30" s="109">
        <v>27</v>
      </c>
      <c r="B30" s="105">
        <v>33</v>
      </c>
      <c r="C30" s="112">
        <f t="shared" si="0"/>
        <v>357</v>
      </c>
      <c r="E30" s="105">
        <v>9</v>
      </c>
      <c r="F30" s="112">
        <f t="shared" si="1"/>
        <v>70</v>
      </c>
      <c r="H30" s="105" t="e">
        <f>#REF!</f>
        <v>#REF!</v>
      </c>
      <c r="I30" s="112" t="e">
        <f t="shared" si="2"/>
        <v>#REF!</v>
      </c>
    </row>
    <row r="31" spans="1:9" x14ac:dyDescent="0.2">
      <c r="A31" s="109">
        <v>28</v>
      </c>
      <c r="B31" s="105">
        <v>38</v>
      </c>
      <c r="C31" s="112">
        <f t="shared" si="0"/>
        <v>395</v>
      </c>
      <c r="E31" s="105">
        <v>7</v>
      </c>
      <c r="F31" s="112">
        <f t="shared" si="1"/>
        <v>77</v>
      </c>
      <c r="H31" s="105" t="e">
        <f>#REF!</f>
        <v>#REF!</v>
      </c>
      <c r="I31" s="112" t="e">
        <f t="shared" si="2"/>
        <v>#REF!</v>
      </c>
    </row>
    <row r="32" spans="1:9" x14ac:dyDescent="0.2">
      <c r="A32" s="109">
        <v>29</v>
      </c>
      <c r="B32" s="105">
        <v>40</v>
      </c>
      <c r="C32" s="112">
        <f t="shared" si="0"/>
        <v>435</v>
      </c>
      <c r="E32" s="105">
        <v>7</v>
      </c>
      <c r="F32" s="112">
        <f t="shared" si="1"/>
        <v>84</v>
      </c>
      <c r="H32" s="105" t="e">
        <f>#REF!</f>
        <v>#REF!</v>
      </c>
      <c r="I32" s="112" t="e">
        <f t="shared" si="2"/>
        <v>#REF!</v>
      </c>
    </row>
    <row r="33" spans="1:9" x14ac:dyDescent="0.2">
      <c r="A33" s="109">
        <v>30</v>
      </c>
      <c r="B33" s="105">
        <v>0</v>
      </c>
      <c r="C33" s="112">
        <f t="shared" si="0"/>
        <v>435</v>
      </c>
      <c r="E33" s="105">
        <v>0</v>
      </c>
      <c r="F33" s="112">
        <f t="shared" si="1"/>
        <v>84</v>
      </c>
      <c r="H33" s="105" t="e">
        <f>#REF!</f>
        <v>#REF!</v>
      </c>
      <c r="I33" s="112" t="e">
        <f t="shared" si="2"/>
        <v>#REF!</v>
      </c>
    </row>
    <row r="34" spans="1:9" x14ac:dyDescent="0.2">
      <c r="A34" s="109">
        <v>31</v>
      </c>
      <c r="B34" s="105">
        <v>0</v>
      </c>
      <c r="C34" s="112">
        <f t="shared" si="0"/>
        <v>435</v>
      </c>
      <c r="E34" s="105">
        <v>0</v>
      </c>
      <c r="F34" s="112">
        <f t="shared" si="1"/>
        <v>84</v>
      </c>
      <c r="H34" s="105" t="e">
        <f>#REF!</f>
        <v>#REF!</v>
      </c>
      <c r="I34" s="112" t="e">
        <f t="shared" si="2"/>
        <v>#REF!</v>
      </c>
    </row>
    <row r="35" spans="1:9" x14ac:dyDescent="0.2">
      <c r="A35" s="109">
        <v>32</v>
      </c>
      <c r="B35" s="105">
        <v>0</v>
      </c>
      <c r="C35" s="112">
        <f t="shared" si="0"/>
        <v>435</v>
      </c>
      <c r="E35" s="105">
        <v>12</v>
      </c>
      <c r="F35" s="112">
        <f t="shared" si="1"/>
        <v>96</v>
      </c>
      <c r="H35" s="105" t="e">
        <f>#REF!</f>
        <v>#REF!</v>
      </c>
      <c r="I35" s="112" t="e">
        <f t="shared" si="2"/>
        <v>#REF!</v>
      </c>
    </row>
    <row r="36" spans="1:9" x14ac:dyDescent="0.2">
      <c r="A36" s="109">
        <v>33</v>
      </c>
      <c r="B36" s="105">
        <v>50</v>
      </c>
      <c r="C36" s="112">
        <f t="shared" si="0"/>
        <v>485</v>
      </c>
      <c r="E36" s="105">
        <v>4</v>
      </c>
      <c r="F36" s="112">
        <f t="shared" si="1"/>
        <v>100</v>
      </c>
      <c r="H36" s="105" t="e">
        <f>#REF!</f>
        <v>#REF!</v>
      </c>
      <c r="I36" s="112" t="e">
        <f t="shared" si="2"/>
        <v>#REF!</v>
      </c>
    </row>
    <row r="37" spans="1:9" x14ac:dyDescent="0.2">
      <c r="A37" s="109">
        <v>34</v>
      </c>
      <c r="B37" s="105">
        <v>75</v>
      </c>
      <c r="C37" s="112">
        <f t="shared" si="0"/>
        <v>560</v>
      </c>
      <c r="E37" s="105">
        <v>13</v>
      </c>
      <c r="F37" s="112">
        <f t="shared" si="1"/>
        <v>113</v>
      </c>
      <c r="H37" s="105" t="e">
        <f>#REF!</f>
        <v>#REF!</v>
      </c>
      <c r="I37" s="112" t="e">
        <f t="shared" si="2"/>
        <v>#REF!</v>
      </c>
    </row>
    <row r="38" spans="1:9" x14ac:dyDescent="0.2">
      <c r="A38" s="109">
        <v>35</v>
      </c>
      <c r="B38" s="105">
        <v>64</v>
      </c>
      <c r="C38" s="112">
        <f t="shared" si="0"/>
        <v>624</v>
      </c>
      <c r="E38" s="105">
        <v>6</v>
      </c>
      <c r="F38" s="112">
        <f t="shared" si="1"/>
        <v>119</v>
      </c>
      <c r="H38" s="105" t="e">
        <f>#REF!</f>
        <v>#REF!</v>
      </c>
      <c r="I38" s="112" t="e">
        <f t="shared" si="2"/>
        <v>#REF!</v>
      </c>
    </row>
    <row r="39" spans="1:9" x14ac:dyDescent="0.2">
      <c r="A39" s="109">
        <v>36</v>
      </c>
      <c r="B39" s="105">
        <v>58</v>
      </c>
      <c r="C39" s="112">
        <f t="shared" si="0"/>
        <v>682</v>
      </c>
      <c r="E39" s="105">
        <v>25</v>
      </c>
      <c r="F39" s="112">
        <f t="shared" si="1"/>
        <v>144</v>
      </c>
      <c r="H39" s="105" t="e">
        <f>#REF!</f>
        <v>#REF!</v>
      </c>
      <c r="I39" s="112" t="e">
        <f t="shared" si="2"/>
        <v>#REF!</v>
      </c>
    </row>
    <row r="40" spans="1:9" x14ac:dyDescent="0.2">
      <c r="A40" s="109">
        <v>37</v>
      </c>
      <c r="B40" s="105">
        <v>130</v>
      </c>
      <c r="C40" s="112">
        <f t="shared" si="0"/>
        <v>812</v>
      </c>
      <c r="E40" s="105">
        <v>6</v>
      </c>
      <c r="F40" s="112">
        <f t="shared" si="1"/>
        <v>150</v>
      </c>
      <c r="H40" s="105" t="e">
        <f>#REF!</f>
        <v>#REF!</v>
      </c>
      <c r="I40" s="112" t="e">
        <f t="shared" si="2"/>
        <v>#REF!</v>
      </c>
    </row>
    <row r="41" spans="1:9" x14ac:dyDescent="0.2">
      <c r="A41" s="109">
        <v>38</v>
      </c>
      <c r="B41" s="105">
        <v>0</v>
      </c>
      <c r="C41" s="112">
        <f t="shared" si="0"/>
        <v>812</v>
      </c>
      <c r="E41" s="105">
        <v>0</v>
      </c>
      <c r="F41" s="112">
        <f t="shared" si="1"/>
        <v>150</v>
      </c>
      <c r="H41" s="105" t="e">
        <f>#REF!</f>
        <v>#REF!</v>
      </c>
      <c r="I41" s="112" t="e">
        <f t="shared" si="2"/>
        <v>#REF!</v>
      </c>
    </row>
    <row r="42" spans="1:9" x14ac:dyDescent="0.2">
      <c r="A42" s="109">
        <v>39</v>
      </c>
      <c r="B42" s="105">
        <v>112</v>
      </c>
      <c r="C42" s="112">
        <f t="shared" si="0"/>
        <v>924</v>
      </c>
      <c r="E42" s="105">
        <v>19</v>
      </c>
      <c r="F42" s="112">
        <f t="shared" si="1"/>
        <v>169</v>
      </c>
      <c r="H42" s="105" t="e">
        <f>#REF!</f>
        <v>#REF!</v>
      </c>
      <c r="I42" s="112" t="e">
        <f t="shared" si="2"/>
        <v>#REF!</v>
      </c>
    </row>
    <row r="43" spans="1:9" x14ac:dyDescent="0.2">
      <c r="A43" s="109">
        <v>40</v>
      </c>
      <c r="B43" s="105">
        <v>114</v>
      </c>
      <c r="C43" s="112">
        <f t="shared" si="0"/>
        <v>1038</v>
      </c>
      <c r="E43" s="105">
        <v>31</v>
      </c>
      <c r="F43" s="112">
        <f t="shared" si="1"/>
        <v>200</v>
      </c>
      <c r="H43" s="105" t="e">
        <f>#REF!</f>
        <v>#REF!</v>
      </c>
      <c r="I43" s="112" t="e">
        <f t="shared" si="2"/>
        <v>#REF!</v>
      </c>
    </row>
    <row r="44" spans="1:9" x14ac:dyDescent="0.2">
      <c r="A44" s="109">
        <v>41</v>
      </c>
      <c r="B44" s="105">
        <v>149</v>
      </c>
      <c r="C44" s="112">
        <f t="shared" si="0"/>
        <v>1187</v>
      </c>
      <c r="E44" s="105">
        <v>27</v>
      </c>
      <c r="F44" s="112">
        <f t="shared" si="1"/>
        <v>227</v>
      </c>
      <c r="H44" s="105" t="e">
        <f>#REF!</f>
        <v>#REF!</v>
      </c>
      <c r="I44" s="112" t="e">
        <f t="shared" ref="I44" si="3">I43+H44</f>
        <v>#REF!</v>
      </c>
    </row>
    <row r="45" spans="1:9" x14ac:dyDescent="0.2">
      <c r="A45" s="109">
        <v>42</v>
      </c>
      <c r="B45" s="105">
        <v>125</v>
      </c>
      <c r="C45" s="112">
        <f t="shared" si="0"/>
        <v>1312</v>
      </c>
      <c r="E45" s="105">
        <v>21</v>
      </c>
      <c r="F45" s="112">
        <f t="shared" si="1"/>
        <v>248</v>
      </c>
      <c r="H45" s="105" t="e">
        <f>#REF!</f>
        <v>#REF!</v>
      </c>
      <c r="I45" s="112" t="e">
        <f t="shared" ref="I45:I46" si="4">I44+H45</f>
        <v>#REF!</v>
      </c>
    </row>
    <row r="46" spans="1:9" x14ac:dyDescent="0.2">
      <c r="A46" s="109">
        <v>43</v>
      </c>
      <c r="B46" s="105">
        <v>128</v>
      </c>
      <c r="C46" s="112">
        <f t="shared" si="0"/>
        <v>1440</v>
      </c>
      <c r="E46" s="105">
        <v>30</v>
      </c>
      <c r="F46" s="112">
        <f t="shared" si="1"/>
        <v>278</v>
      </c>
      <c r="H46" s="105" t="e">
        <f>#REF!</f>
        <v>#REF!</v>
      </c>
      <c r="I46" s="112" t="e">
        <f t="shared" si="4"/>
        <v>#REF!</v>
      </c>
    </row>
    <row r="47" spans="1:9" x14ac:dyDescent="0.2">
      <c r="A47" s="109">
        <v>44</v>
      </c>
      <c r="B47" s="121">
        <v>1681</v>
      </c>
      <c r="C47" s="112">
        <f t="shared" si="0"/>
        <v>3121</v>
      </c>
      <c r="E47" s="121">
        <v>37</v>
      </c>
      <c r="F47" s="112">
        <f t="shared" si="1"/>
        <v>315</v>
      </c>
      <c r="H47" s="121" t="e">
        <f>#REF!</f>
        <v>#REF!</v>
      </c>
      <c r="I47" s="112" t="e">
        <f t="shared" ref="I47" si="5">I46+H47</f>
        <v>#REF!</v>
      </c>
    </row>
    <row r="48" spans="1:9" x14ac:dyDescent="0.2">
      <c r="A48" s="113"/>
      <c r="B48">
        <f>SUM(B4:B47)</f>
        <v>3121</v>
      </c>
      <c r="E48">
        <v>315</v>
      </c>
      <c r="H48" t="e">
        <f>SUM(H4:H47)</f>
        <v>#REF!</v>
      </c>
    </row>
    <row r="49" spans="1:1" x14ac:dyDescent="0.2">
      <c r="A49" s="119"/>
    </row>
  </sheetData>
  <mergeCells count="4">
    <mergeCell ref="B2:C2"/>
    <mergeCell ref="H2:I2"/>
    <mergeCell ref="E2:F2"/>
    <mergeCell ref="A1:I1"/>
  </mergeCells>
  <pageMargins left="0.7" right="0.7" top="0.75" bottom="0.75" header="0.3" footer="0.3"/>
  <pageSetup orientation="portrait" horizontalDpi="1200" verticalDpi="12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DB44-B60F-4113-B91B-6336292924F6}">
  <dimension ref="A1:K50"/>
  <sheetViews>
    <sheetView showGridLines="0" topLeftCell="A2" workbookViewId="0">
      <selection activeCell="M33" sqref="M33"/>
    </sheetView>
  </sheetViews>
  <sheetFormatPr defaultRowHeight="14.25" x14ac:dyDescent="0.2"/>
  <cols>
    <col min="1" max="3" width="9" style="1"/>
    <col min="4" max="4" width="5.375" style="1" customWidth="1"/>
    <col min="7" max="7" width="4.5" customWidth="1"/>
    <col min="11" max="11" width="12.25" bestFit="1" customWidth="1"/>
  </cols>
  <sheetData>
    <row r="1" spans="1:10" ht="75" customHeight="1" x14ac:dyDescent="0.35">
      <c r="A1" s="609" t="s">
        <v>63</v>
      </c>
      <c r="B1" s="609"/>
      <c r="C1" s="609"/>
      <c r="D1" s="609"/>
      <c r="E1" s="609"/>
      <c r="F1" s="609"/>
      <c r="G1" s="609"/>
      <c r="H1" s="609"/>
      <c r="I1" s="609"/>
      <c r="J1" s="102"/>
    </row>
    <row r="2" spans="1:10" ht="48" customHeight="1" x14ac:dyDescent="0.25">
      <c r="A2" s="223"/>
      <c r="B2" s="613" t="s">
        <v>48</v>
      </c>
      <c r="C2" s="614"/>
      <c r="D2" s="128"/>
      <c r="E2" s="621" t="s">
        <v>35</v>
      </c>
      <c r="F2" s="622"/>
      <c r="G2" s="130"/>
      <c r="H2" s="619" t="s">
        <v>50</v>
      </c>
      <c r="I2" s="620"/>
    </row>
    <row r="3" spans="1:10" ht="45.75" thickBot="1" x14ac:dyDescent="0.3">
      <c r="A3" s="141" t="s">
        <v>39</v>
      </c>
      <c r="B3" s="218" t="s">
        <v>32</v>
      </c>
      <c r="C3" s="219" t="s">
        <v>49</v>
      </c>
      <c r="D3" s="220"/>
      <c r="E3" s="218" t="s">
        <v>32</v>
      </c>
      <c r="F3" s="219" t="s">
        <v>33</v>
      </c>
      <c r="G3" s="221"/>
      <c r="H3" s="222" t="s">
        <v>32</v>
      </c>
      <c r="I3" s="219" t="s">
        <v>34</v>
      </c>
    </row>
    <row r="4" spans="1:10" ht="15" x14ac:dyDescent="0.25">
      <c r="A4" s="126">
        <v>1</v>
      </c>
      <c r="B4" s="114">
        <v>0</v>
      </c>
      <c r="C4" s="115">
        <f>B4</f>
        <v>0</v>
      </c>
      <c r="D4" s="129"/>
      <c r="E4" s="106">
        <v>0</v>
      </c>
      <c r="F4" s="107">
        <v>0</v>
      </c>
      <c r="G4" s="130"/>
      <c r="H4" s="134">
        <f>Mailed!B7</f>
        <v>41065</v>
      </c>
      <c r="I4" s="111">
        <f>H4</f>
        <v>41065</v>
      </c>
    </row>
    <row r="5" spans="1:10" ht="15" x14ac:dyDescent="0.25">
      <c r="A5" s="109">
        <v>2</v>
      </c>
      <c r="B5" s="132">
        <v>2248</v>
      </c>
      <c r="C5" s="116">
        <f>C4+B5</f>
        <v>2248</v>
      </c>
      <c r="D5" s="129"/>
      <c r="E5" s="133">
        <v>5114</v>
      </c>
      <c r="F5" s="108">
        <f>E5</f>
        <v>5114</v>
      </c>
      <c r="G5" s="130"/>
      <c r="H5" s="104" t="e">
        <f>Mailed!#REF!</f>
        <v>#REF!</v>
      </c>
      <c r="I5" s="108" t="e">
        <f>H5+I4</f>
        <v>#REF!</v>
      </c>
    </row>
    <row r="6" spans="1:10" x14ac:dyDescent="0.2">
      <c r="A6" s="109">
        <v>3</v>
      </c>
      <c r="B6" s="110">
        <v>0</v>
      </c>
      <c r="C6" s="116">
        <f t="shared" ref="C6:C49" si="0">C5+B6</f>
        <v>2248</v>
      </c>
      <c r="D6" s="129"/>
      <c r="E6" s="104">
        <v>0</v>
      </c>
      <c r="F6" s="108">
        <f>E6+F5</f>
        <v>5114</v>
      </c>
      <c r="G6" s="130"/>
      <c r="H6">
        <v>0</v>
      </c>
      <c r="I6" s="108" t="e">
        <f t="shared" ref="I6:I21" si="1">H6+I5</f>
        <v>#REF!</v>
      </c>
    </row>
    <row r="7" spans="1:10" x14ac:dyDescent="0.2">
      <c r="A7" s="109">
        <v>4</v>
      </c>
      <c r="B7" s="110">
        <v>0</v>
      </c>
      <c r="C7" s="116">
        <f t="shared" si="0"/>
        <v>2248</v>
      </c>
      <c r="D7" s="129"/>
      <c r="E7" s="104">
        <v>0</v>
      </c>
      <c r="F7" s="108">
        <f t="shared" ref="F7:F49" si="2">E7+F6</f>
        <v>5114</v>
      </c>
      <c r="G7" s="130"/>
      <c r="H7" s="105">
        <v>0</v>
      </c>
      <c r="I7" s="108" t="e">
        <f t="shared" si="1"/>
        <v>#REF!</v>
      </c>
    </row>
    <row r="8" spans="1:10" x14ac:dyDescent="0.2">
      <c r="A8" s="109">
        <v>5</v>
      </c>
      <c r="B8" s="110">
        <v>0</v>
      </c>
      <c r="C8" s="116">
        <f t="shared" si="0"/>
        <v>2248</v>
      </c>
      <c r="D8" s="129"/>
      <c r="E8" s="104">
        <v>482</v>
      </c>
      <c r="F8" s="108">
        <f t="shared" si="2"/>
        <v>5596</v>
      </c>
      <c r="G8" s="130"/>
      <c r="H8" s="104">
        <f>Mailed!B10</f>
        <v>2064</v>
      </c>
      <c r="I8" s="108" t="e">
        <f t="shared" si="1"/>
        <v>#REF!</v>
      </c>
    </row>
    <row r="9" spans="1:10" x14ac:dyDescent="0.2">
      <c r="A9" s="109">
        <v>6</v>
      </c>
      <c r="B9" s="110">
        <v>66</v>
      </c>
      <c r="C9" s="116">
        <f t="shared" si="0"/>
        <v>2314</v>
      </c>
      <c r="D9" s="129"/>
      <c r="E9" s="104">
        <v>537</v>
      </c>
      <c r="F9" s="108">
        <f t="shared" si="2"/>
        <v>6133</v>
      </c>
      <c r="G9" s="130"/>
      <c r="H9" s="104">
        <f>Mailed!B11</f>
        <v>1597</v>
      </c>
      <c r="I9" s="108" t="e">
        <f t="shared" si="1"/>
        <v>#REF!</v>
      </c>
    </row>
    <row r="10" spans="1:10" x14ac:dyDescent="0.2">
      <c r="A10" s="109">
        <v>7</v>
      </c>
      <c r="B10" s="110">
        <v>29</v>
      </c>
      <c r="C10" s="116">
        <f t="shared" si="0"/>
        <v>2343</v>
      </c>
      <c r="D10" s="129"/>
      <c r="E10" s="104">
        <v>761</v>
      </c>
      <c r="F10" s="108">
        <f t="shared" si="2"/>
        <v>6894</v>
      </c>
      <c r="G10" s="130"/>
      <c r="H10" s="104">
        <f>Mailed!B12</f>
        <v>1123</v>
      </c>
      <c r="I10" s="108" t="e">
        <f t="shared" si="1"/>
        <v>#REF!</v>
      </c>
    </row>
    <row r="11" spans="1:10" x14ac:dyDescent="0.2">
      <c r="A11" s="109">
        <v>8</v>
      </c>
      <c r="B11" s="110">
        <v>6</v>
      </c>
      <c r="C11" s="116">
        <f t="shared" si="0"/>
        <v>2349</v>
      </c>
      <c r="D11" s="129"/>
      <c r="E11" s="104">
        <v>645</v>
      </c>
      <c r="F11" s="108">
        <f t="shared" si="2"/>
        <v>7539</v>
      </c>
      <c r="G11" s="130"/>
      <c r="H11" s="104">
        <f>Mailed!B13</f>
        <v>1038</v>
      </c>
      <c r="I11" s="108" t="e">
        <f t="shared" si="1"/>
        <v>#REF!</v>
      </c>
    </row>
    <row r="12" spans="1:10" x14ac:dyDescent="0.2">
      <c r="A12" s="109">
        <v>9</v>
      </c>
      <c r="B12" s="110">
        <v>51</v>
      </c>
      <c r="C12" s="116">
        <f t="shared" si="0"/>
        <v>2400</v>
      </c>
      <c r="D12" s="129"/>
      <c r="E12" s="104">
        <v>1244</v>
      </c>
      <c r="F12" s="108">
        <f t="shared" si="2"/>
        <v>8783</v>
      </c>
      <c r="G12" s="130"/>
      <c r="H12" s="104">
        <f>Mailed!B14</f>
        <v>911</v>
      </c>
      <c r="I12" s="108" t="e">
        <f t="shared" si="1"/>
        <v>#REF!</v>
      </c>
    </row>
    <row r="13" spans="1:10" x14ac:dyDescent="0.2">
      <c r="A13" s="109">
        <v>10</v>
      </c>
      <c r="B13" s="110">
        <v>0</v>
      </c>
      <c r="C13" s="116">
        <f t="shared" si="0"/>
        <v>2400</v>
      </c>
      <c r="D13" s="129"/>
      <c r="E13" s="104">
        <v>0</v>
      </c>
      <c r="F13" s="108">
        <f t="shared" si="2"/>
        <v>8783</v>
      </c>
      <c r="G13" s="130"/>
      <c r="H13" s="104">
        <f>Mailed!B15</f>
        <v>0</v>
      </c>
      <c r="I13" s="108" t="e">
        <f t="shared" si="1"/>
        <v>#REF!</v>
      </c>
    </row>
    <row r="14" spans="1:10" x14ac:dyDescent="0.2">
      <c r="A14" s="109">
        <v>11</v>
      </c>
      <c r="B14" s="110">
        <v>0</v>
      </c>
      <c r="C14" s="116">
        <f t="shared" si="0"/>
        <v>2400</v>
      </c>
      <c r="D14" s="129"/>
      <c r="E14" s="104">
        <v>0</v>
      </c>
      <c r="F14" s="108">
        <f t="shared" si="2"/>
        <v>8783</v>
      </c>
      <c r="G14" s="130"/>
      <c r="H14" s="104">
        <f>Mailed!B16</f>
        <v>0</v>
      </c>
      <c r="I14" s="108" t="e">
        <f t="shared" si="1"/>
        <v>#REF!</v>
      </c>
    </row>
    <row r="15" spans="1:10" x14ac:dyDescent="0.2">
      <c r="A15" s="109">
        <v>12</v>
      </c>
      <c r="B15" s="110">
        <v>0</v>
      </c>
      <c r="C15" s="116">
        <f t="shared" si="0"/>
        <v>2400</v>
      </c>
      <c r="D15" s="129"/>
      <c r="E15" s="104">
        <v>1139</v>
      </c>
      <c r="F15" s="108">
        <f t="shared" si="2"/>
        <v>9922</v>
      </c>
      <c r="G15" s="130"/>
      <c r="H15" s="104">
        <f>Mailed!B17</f>
        <v>2130</v>
      </c>
      <c r="I15" s="108" t="e">
        <f t="shared" si="1"/>
        <v>#REF!</v>
      </c>
    </row>
    <row r="16" spans="1:10" x14ac:dyDescent="0.2">
      <c r="A16" s="109">
        <v>13</v>
      </c>
      <c r="B16" s="110">
        <v>95</v>
      </c>
      <c r="C16" s="116">
        <f t="shared" si="0"/>
        <v>2495</v>
      </c>
      <c r="D16" s="129"/>
      <c r="E16" s="104">
        <v>1447</v>
      </c>
      <c r="F16" s="108">
        <f t="shared" si="2"/>
        <v>11369</v>
      </c>
      <c r="G16" s="130"/>
      <c r="H16" s="104">
        <f>Mailed!B18</f>
        <v>1582</v>
      </c>
      <c r="I16" s="108" t="e">
        <f t="shared" si="1"/>
        <v>#REF!</v>
      </c>
    </row>
    <row r="17" spans="1:11" x14ac:dyDescent="0.2">
      <c r="A17" s="109">
        <v>14</v>
      </c>
      <c r="B17" s="110">
        <v>0</v>
      </c>
      <c r="C17" s="116">
        <f t="shared" si="0"/>
        <v>2495</v>
      </c>
      <c r="D17" s="129"/>
      <c r="E17" s="104">
        <v>356</v>
      </c>
      <c r="F17" s="108">
        <f t="shared" si="2"/>
        <v>11725</v>
      </c>
      <c r="G17" s="130"/>
      <c r="H17" s="104">
        <f>Mailed!B19</f>
        <v>1551</v>
      </c>
      <c r="I17" s="108" t="e">
        <f t="shared" si="1"/>
        <v>#REF!</v>
      </c>
    </row>
    <row r="18" spans="1:11" x14ac:dyDescent="0.2">
      <c r="A18" s="109">
        <v>15</v>
      </c>
      <c r="B18" s="110">
        <v>56</v>
      </c>
      <c r="C18" s="116">
        <f t="shared" si="0"/>
        <v>2551</v>
      </c>
      <c r="D18" s="129"/>
      <c r="E18" s="104">
        <v>1046</v>
      </c>
      <c r="F18" s="108">
        <f t="shared" si="2"/>
        <v>12771</v>
      </c>
      <c r="G18" s="130"/>
      <c r="H18" s="104">
        <f>Mailed!B20</f>
        <v>1189</v>
      </c>
      <c r="I18" s="108" t="e">
        <f t="shared" si="1"/>
        <v>#REF!</v>
      </c>
    </row>
    <row r="19" spans="1:11" x14ac:dyDescent="0.2">
      <c r="A19" s="109">
        <v>16</v>
      </c>
      <c r="B19" s="110">
        <v>0</v>
      </c>
      <c r="C19" s="116">
        <f t="shared" si="0"/>
        <v>2551</v>
      </c>
      <c r="D19" s="129"/>
      <c r="E19" s="104">
        <v>1907</v>
      </c>
      <c r="F19" s="108">
        <f t="shared" si="2"/>
        <v>14678</v>
      </c>
      <c r="G19" s="130"/>
      <c r="H19" s="104">
        <f>Mailed!B21</f>
        <v>1063</v>
      </c>
      <c r="I19" s="108" t="e">
        <f t="shared" si="1"/>
        <v>#REF!</v>
      </c>
    </row>
    <row r="20" spans="1:11" x14ac:dyDescent="0.2">
      <c r="A20" s="109">
        <v>17</v>
      </c>
      <c r="B20" s="110">
        <v>0</v>
      </c>
      <c r="C20" s="116">
        <f t="shared" si="0"/>
        <v>2551</v>
      </c>
      <c r="D20" s="129"/>
      <c r="E20" s="104">
        <v>0</v>
      </c>
      <c r="F20" s="108">
        <f t="shared" si="2"/>
        <v>14678</v>
      </c>
      <c r="G20" s="130"/>
      <c r="H20">
        <v>0</v>
      </c>
      <c r="I20" s="108" t="e">
        <f t="shared" si="1"/>
        <v>#REF!</v>
      </c>
    </row>
    <row r="21" spans="1:11" x14ac:dyDescent="0.2">
      <c r="A21" s="109">
        <v>18</v>
      </c>
      <c r="B21" s="110">
        <v>0</v>
      </c>
      <c r="C21" s="116">
        <f t="shared" si="0"/>
        <v>2551</v>
      </c>
      <c r="D21" s="129"/>
      <c r="E21" s="104">
        <v>0</v>
      </c>
      <c r="F21" s="108">
        <f t="shared" si="2"/>
        <v>14678</v>
      </c>
      <c r="G21" s="130"/>
      <c r="H21" s="105">
        <v>0</v>
      </c>
      <c r="I21" s="108" t="e">
        <f t="shared" si="1"/>
        <v>#REF!</v>
      </c>
    </row>
    <row r="22" spans="1:11" x14ac:dyDescent="0.2">
      <c r="A22" s="109">
        <v>19</v>
      </c>
      <c r="B22" s="110">
        <v>80</v>
      </c>
      <c r="C22" s="116">
        <f t="shared" si="0"/>
        <v>2631</v>
      </c>
      <c r="D22" s="129"/>
      <c r="E22" s="104">
        <v>0</v>
      </c>
      <c r="F22" s="108">
        <f t="shared" si="2"/>
        <v>14678</v>
      </c>
      <c r="G22" s="130"/>
      <c r="H22" s="104">
        <f>Mailed!B24</f>
        <v>2074</v>
      </c>
      <c r="I22" s="108" t="e">
        <f>H22+I19</f>
        <v>#REF!</v>
      </c>
    </row>
    <row r="23" spans="1:11" x14ac:dyDescent="0.2">
      <c r="A23" s="109">
        <v>20</v>
      </c>
      <c r="B23" s="110">
        <v>8</v>
      </c>
      <c r="C23" s="116">
        <f t="shared" si="0"/>
        <v>2639</v>
      </c>
      <c r="D23" s="129"/>
      <c r="E23" s="104">
        <v>1844</v>
      </c>
      <c r="F23" s="108">
        <f t="shared" si="2"/>
        <v>16522</v>
      </c>
      <c r="G23" s="130"/>
      <c r="H23" s="104">
        <f>Mailed!B25</f>
        <v>1461</v>
      </c>
      <c r="I23" s="108" t="e">
        <f>I22+H23</f>
        <v>#REF!</v>
      </c>
      <c r="K23" s="41"/>
    </row>
    <row r="24" spans="1:11" x14ac:dyDescent="0.2">
      <c r="A24" s="109">
        <v>21</v>
      </c>
      <c r="B24" s="110">
        <v>57</v>
      </c>
      <c r="C24" s="116">
        <f t="shared" si="0"/>
        <v>2696</v>
      </c>
      <c r="D24" s="129"/>
      <c r="E24" s="104">
        <v>1549</v>
      </c>
      <c r="F24" s="108">
        <f t="shared" si="2"/>
        <v>18071</v>
      </c>
      <c r="G24" s="130"/>
      <c r="H24" s="104">
        <f>Mailed!B26</f>
        <v>1314</v>
      </c>
      <c r="I24" s="108" t="e">
        <f>I23+H24</f>
        <v>#REF!</v>
      </c>
    </row>
    <row r="25" spans="1:11" x14ac:dyDescent="0.2">
      <c r="A25" s="109">
        <v>22</v>
      </c>
      <c r="B25" s="110">
        <v>66</v>
      </c>
      <c r="C25" s="116">
        <f t="shared" si="0"/>
        <v>2762</v>
      </c>
      <c r="D25" s="129"/>
      <c r="E25" s="104">
        <v>1532</v>
      </c>
      <c r="F25" s="108">
        <f t="shared" si="2"/>
        <v>19603</v>
      </c>
      <c r="G25" s="130"/>
      <c r="H25" s="104">
        <f>Mailed!B27</f>
        <v>878</v>
      </c>
      <c r="I25" s="108" t="e">
        <f t="shared" ref="I25:I32" si="3">I24+H25</f>
        <v>#REF!</v>
      </c>
    </row>
    <row r="26" spans="1:11" x14ac:dyDescent="0.2">
      <c r="A26" s="109">
        <v>23</v>
      </c>
      <c r="B26" s="110">
        <v>0</v>
      </c>
      <c r="C26" s="116">
        <f t="shared" si="0"/>
        <v>2762</v>
      </c>
      <c r="D26" s="129"/>
      <c r="E26" s="104">
        <v>1743</v>
      </c>
      <c r="F26" s="108">
        <f t="shared" si="2"/>
        <v>21346</v>
      </c>
      <c r="G26" s="130"/>
      <c r="H26" s="104">
        <f>Mailed!B28</f>
        <v>553</v>
      </c>
      <c r="I26" s="108" t="e">
        <f t="shared" si="3"/>
        <v>#REF!</v>
      </c>
    </row>
    <row r="27" spans="1:11" x14ac:dyDescent="0.2">
      <c r="A27" s="109">
        <v>24</v>
      </c>
      <c r="B27" s="110">
        <v>0</v>
      </c>
      <c r="C27" s="116">
        <f t="shared" si="0"/>
        <v>2762</v>
      </c>
      <c r="D27" s="129"/>
      <c r="E27" s="104">
        <v>0</v>
      </c>
      <c r="F27" s="108">
        <f t="shared" si="2"/>
        <v>21346</v>
      </c>
      <c r="G27" s="130"/>
      <c r="H27" s="105">
        <v>0</v>
      </c>
      <c r="I27" s="108" t="e">
        <f t="shared" si="3"/>
        <v>#REF!</v>
      </c>
    </row>
    <row r="28" spans="1:11" x14ac:dyDescent="0.2">
      <c r="A28" s="109">
        <v>25</v>
      </c>
      <c r="B28" s="110">
        <v>0</v>
      </c>
      <c r="C28" s="116">
        <f t="shared" si="0"/>
        <v>2762</v>
      </c>
      <c r="D28" s="129"/>
      <c r="E28" s="104">
        <v>0</v>
      </c>
      <c r="F28" s="108">
        <f t="shared" si="2"/>
        <v>21346</v>
      </c>
      <c r="G28" s="130"/>
      <c r="H28" s="105">
        <v>0</v>
      </c>
      <c r="I28" s="108" t="e">
        <f t="shared" si="3"/>
        <v>#REF!</v>
      </c>
    </row>
    <row r="29" spans="1:11" x14ac:dyDescent="0.2">
      <c r="A29" s="109">
        <v>26</v>
      </c>
      <c r="B29" s="110">
        <v>110</v>
      </c>
      <c r="C29" s="116">
        <f t="shared" si="0"/>
        <v>2872</v>
      </c>
      <c r="D29" s="129"/>
      <c r="E29" s="104">
        <v>1763</v>
      </c>
      <c r="F29" s="108">
        <f t="shared" si="2"/>
        <v>23109</v>
      </c>
      <c r="G29" s="130"/>
      <c r="H29" s="104">
        <f>Mailed!B31</f>
        <v>2033</v>
      </c>
      <c r="I29" s="108" t="e">
        <f t="shared" si="3"/>
        <v>#REF!</v>
      </c>
    </row>
    <row r="30" spans="1:11" x14ac:dyDescent="0.2">
      <c r="A30" s="109">
        <v>27</v>
      </c>
      <c r="B30" s="110">
        <v>113</v>
      </c>
      <c r="C30" s="116">
        <f t="shared" si="0"/>
        <v>2985</v>
      </c>
      <c r="D30" s="129"/>
      <c r="E30" s="104">
        <v>2828</v>
      </c>
      <c r="F30" s="108">
        <f t="shared" si="2"/>
        <v>25937</v>
      </c>
      <c r="G30" s="130"/>
      <c r="H30" s="104">
        <f>Mailed!B32</f>
        <v>2927</v>
      </c>
      <c r="I30" s="108" t="e">
        <f t="shared" si="3"/>
        <v>#REF!</v>
      </c>
    </row>
    <row r="31" spans="1:11" x14ac:dyDescent="0.2">
      <c r="A31" s="109">
        <v>28</v>
      </c>
      <c r="B31" s="110">
        <v>68</v>
      </c>
      <c r="C31" s="116">
        <f t="shared" si="0"/>
        <v>3053</v>
      </c>
      <c r="D31" s="129"/>
      <c r="E31" s="104">
        <v>723</v>
      </c>
      <c r="F31" s="108">
        <f t="shared" si="2"/>
        <v>26660</v>
      </c>
      <c r="G31" s="130"/>
      <c r="H31" s="104">
        <f>Mailed!B33</f>
        <v>2326</v>
      </c>
      <c r="I31" s="108" t="e">
        <f t="shared" si="3"/>
        <v>#REF!</v>
      </c>
    </row>
    <row r="32" spans="1:11" x14ac:dyDescent="0.2">
      <c r="A32" s="109">
        <v>29</v>
      </c>
      <c r="B32" s="110">
        <v>55</v>
      </c>
      <c r="C32" s="116">
        <f t="shared" si="0"/>
        <v>3108</v>
      </c>
      <c r="D32" s="129"/>
      <c r="E32" s="104">
        <v>1720</v>
      </c>
      <c r="F32" s="108">
        <f t="shared" si="2"/>
        <v>28380</v>
      </c>
      <c r="G32" s="130"/>
      <c r="H32" s="104">
        <f>Mailed!B34</f>
        <v>1628</v>
      </c>
      <c r="I32" s="108" t="e">
        <f t="shared" si="3"/>
        <v>#REF!</v>
      </c>
    </row>
    <row r="33" spans="1:9" x14ac:dyDescent="0.2">
      <c r="A33" s="109">
        <v>30</v>
      </c>
      <c r="B33" s="110">
        <v>47</v>
      </c>
      <c r="C33" s="116">
        <f t="shared" si="0"/>
        <v>3155</v>
      </c>
      <c r="D33" s="129"/>
      <c r="E33" s="104">
        <v>1379</v>
      </c>
      <c r="F33" s="108">
        <f t="shared" si="2"/>
        <v>29759</v>
      </c>
      <c r="G33" s="130"/>
      <c r="H33" s="104">
        <f>Mailed!B35</f>
        <v>1506</v>
      </c>
      <c r="I33" s="108" t="e">
        <f>I32+H33</f>
        <v>#REF!</v>
      </c>
    </row>
    <row r="34" spans="1:9" x14ac:dyDescent="0.2">
      <c r="A34" s="109">
        <v>31</v>
      </c>
      <c r="B34" s="110">
        <v>0</v>
      </c>
      <c r="C34" s="116">
        <f t="shared" si="0"/>
        <v>3155</v>
      </c>
      <c r="D34" s="129"/>
      <c r="E34" s="104">
        <v>0</v>
      </c>
      <c r="F34" s="108">
        <f t="shared" si="2"/>
        <v>29759</v>
      </c>
      <c r="G34" s="130"/>
      <c r="H34" s="104">
        <f>Mailed!B36</f>
        <v>0</v>
      </c>
      <c r="I34" s="108" t="e">
        <f>I33+H34</f>
        <v>#REF!</v>
      </c>
    </row>
    <row r="35" spans="1:9" x14ac:dyDescent="0.2">
      <c r="A35" s="109">
        <v>32</v>
      </c>
      <c r="B35" s="110">
        <v>0</v>
      </c>
      <c r="C35" s="116">
        <f t="shared" si="0"/>
        <v>3155</v>
      </c>
      <c r="D35" s="129"/>
      <c r="E35" s="104">
        <v>0</v>
      </c>
      <c r="F35" s="108">
        <f t="shared" si="2"/>
        <v>29759</v>
      </c>
      <c r="G35" s="130"/>
      <c r="H35" s="104">
        <f>Mailed!B37</f>
        <v>0</v>
      </c>
      <c r="I35" s="108" t="e">
        <f t="shared" ref="I35:I43" si="4">I34+H35</f>
        <v>#REF!</v>
      </c>
    </row>
    <row r="36" spans="1:9" x14ac:dyDescent="0.2">
      <c r="A36" s="109">
        <v>33</v>
      </c>
      <c r="B36" s="110">
        <v>0</v>
      </c>
      <c r="C36" s="116">
        <f t="shared" si="0"/>
        <v>3155</v>
      </c>
      <c r="D36" s="129"/>
      <c r="E36" s="104">
        <v>1300</v>
      </c>
      <c r="F36" s="108">
        <f t="shared" si="2"/>
        <v>31059</v>
      </c>
      <c r="G36" s="130"/>
      <c r="H36" s="104">
        <f>Mailed!B38</f>
        <v>2361</v>
      </c>
      <c r="I36" s="108" t="e">
        <f t="shared" si="4"/>
        <v>#REF!</v>
      </c>
    </row>
    <row r="37" spans="1:9" x14ac:dyDescent="0.2">
      <c r="A37" s="109">
        <v>34</v>
      </c>
      <c r="B37" s="110">
        <v>159</v>
      </c>
      <c r="C37" s="116">
        <f t="shared" si="0"/>
        <v>3314</v>
      </c>
      <c r="D37" s="129"/>
      <c r="E37" s="104">
        <v>1070</v>
      </c>
      <c r="F37" s="108">
        <f t="shared" si="2"/>
        <v>32129</v>
      </c>
      <c r="G37" s="130"/>
      <c r="H37" s="104">
        <f>Mailed!B39</f>
        <v>2331</v>
      </c>
      <c r="I37" s="108" t="e">
        <f t="shared" si="4"/>
        <v>#REF!</v>
      </c>
    </row>
    <row r="38" spans="1:9" x14ac:dyDescent="0.2">
      <c r="A38" s="109">
        <v>35</v>
      </c>
      <c r="B38" s="110">
        <v>100</v>
      </c>
      <c r="C38" s="116">
        <f t="shared" si="0"/>
        <v>3414</v>
      </c>
      <c r="D38" s="129"/>
      <c r="E38" s="104">
        <v>661</v>
      </c>
      <c r="F38" s="108">
        <f t="shared" si="2"/>
        <v>32790</v>
      </c>
      <c r="G38" s="130"/>
      <c r="H38" s="104">
        <f>Mailed!B40</f>
        <v>1391</v>
      </c>
      <c r="I38" s="108" t="e">
        <f t="shared" si="4"/>
        <v>#REF!</v>
      </c>
    </row>
    <row r="39" spans="1:9" x14ac:dyDescent="0.2">
      <c r="A39" s="109">
        <v>36</v>
      </c>
      <c r="B39" s="110">
        <v>66</v>
      </c>
      <c r="C39" s="116">
        <f t="shared" si="0"/>
        <v>3480</v>
      </c>
      <c r="D39" s="129"/>
      <c r="E39" s="104">
        <v>1053</v>
      </c>
      <c r="F39" s="108">
        <f t="shared" si="2"/>
        <v>33843</v>
      </c>
      <c r="G39" s="130"/>
      <c r="H39" s="104">
        <f>Mailed!B41</f>
        <v>1506</v>
      </c>
      <c r="I39" s="108" t="e">
        <f t="shared" si="4"/>
        <v>#REF!</v>
      </c>
    </row>
    <row r="40" spans="1:9" x14ac:dyDescent="0.2">
      <c r="A40" s="109">
        <v>37</v>
      </c>
      <c r="B40" s="110">
        <v>58</v>
      </c>
      <c r="C40" s="116">
        <f t="shared" si="0"/>
        <v>3538</v>
      </c>
      <c r="D40" s="129"/>
      <c r="E40" s="104">
        <v>1045</v>
      </c>
      <c r="F40" s="108">
        <f t="shared" si="2"/>
        <v>34888</v>
      </c>
      <c r="G40" s="130"/>
      <c r="H40" s="104">
        <f>Mailed!B42</f>
        <v>1994</v>
      </c>
      <c r="I40" s="108" t="e">
        <f t="shared" si="4"/>
        <v>#REF!</v>
      </c>
    </row>
    <row r="41" spans="1:9" x14ac:dyDescent="0.2">
      <c r="A41" s="109">
        <v>38</v>
      </c>
      <c r="B41" s="110">
        <v>0</v>
      </c>
      <c r="C41" s="116">
        <f t="shared" si="0"/>
        <v>3538</v>
      </c>
      <c r="D41" s="129"/>
      <c r="E41" s="104">
        <v>0</v>
      </c>
      <c r="F41" s="108">
        <f t="shared" si="2"/>
        <v>34888</v>
      </c>
      <c r="G41" s="130"/>
      <c r="H41" s="104">
        <f>Mailed!B43</f>
        <v>0</v>
      </c>
      <c r="I41" s="108" t="e">
        <f t="shared" si="4"/>
        <v>#REF!</v>
      </c>
    </row>
    <row r="42" spans="1:9" x14ac:dyDescent="0.2">
      <c r="A42" s="109">
        <v>39</v>
      </c>
      <c r="B42" s="110">
        <v>0</v>
      </c>
      <c r="C42" s="116">
        <f t="shared" si="0"/>
        <v>3538</v>
      </c>
      <c r="D42" s="129"/>
      <c r="E42" s="104">
        <v>0</v>
      </c>
      <c r="F42" s="108">
        <f t="shared" si="2"/>
        <v>34888</v>
      </c>
      <c r="G42" s="130"/>
      <c r="H42" s="104">
        <f>Mailed!B44</f>
        <v>0</v>
      </c>
      <c r="I42" s="108" t="e">
        <f t="shared" si="4"/>
        <v>#REF!</v>
      </c>
    </row>
    <row r="43" spans="1:9" x14ac:dyDescent="0.2">
      <c r="A43" s="109">
        <v>40</v>
      </c>
      <c r="B43" s="110">
        <v>130</v>
      </c>
      <c r="C43" s="116">
        <f t="shared" si="0"/>
        <v>3668</v>
      </c>
      <c r="D43" s="129"/>
      <c r="E43" s="104">
        <v>694</v>
      </c>
      <c r="F43" s="108">
        <f t="shared" si="2"/>
        <v>35582</v>
      </c>
      <c r="G43" s="130"/>
      <c r="H43" s="104">
        <f>Mailed!B45</f>
        <v>623</v>
      </c>
      <c r="I43" s="108" t="e">
        <f t="shared" si="4"/>
        <v>#REF!</v>
      </c>
    </row>
    <row r="44" spans="1:9" x14ac:dyDescent="0.2">
      <c r="A44" s="109">
        <v>41</v>
      </c>
      <c r="B44" s="110">
        <v>226</v>
      </c>
      <c r="C44" s="116">
        <f t="shared" si="0"/>
        <v>3894</v>
      </c>
      <c r="D44" s="129"/>
      <c r="E44" s="104">
        <v>2390</v>
      </c>
      <c r="F44" s="108">
        <f t="shared" si="2"/>
        <v>37972</v>
      </c>
      <c r="G44" s="130"/>
      <c r="H44" s="104">
        <f>Mailed!B46</f>
        <v>0</v>
      </c>
      <c r="I44" s="108" t="e">
        <f t="shared" ref="I44:I45" si="5">I43+H44</f>
        <v>#REF!</v>
      </c>
    </row>
    <row r="45" spans="1:9" x14ac:dyDescent="0.2">
      <c r="A45" s="109">
        <v>42</v>
      </c>
      <c r="B45" s="110">
        <v>161</v>
      </c>
      <c r="C45" s="116">
        <f t="shared" si="0"/>
        <v>4055</v>
      </c>
      <c r="D45" s="129"/>
      <c r="E45" s="104">
        <v>836</v>
      </c>
      <c r="F45" s="108">
        <f t="shared" si="2"/>
        <v>38808</v>
      </c>
      <c r="G45" s="130"/>
      <c r="H45" s="104">
        <f>Mailed!B47</f>
        <v>2</v>
      </c>
      <c r="I45" s="108" t="e">
        <f t="shared" si="5"/>
        <v>#REF!</v>
      </c>
    </row>
    <row r="46" spans="1:9" x14ac:dyDescent="0.2">
      <c r="A46" s="109">
        <v>43</v>
      </c>
      <c r="B46" s="110">
        <v>0</v>
      </c>
      <c r="C46" s="116">
        <f t="shared" si="0"/>
        <v>4055</v>
      </c>
      <c r="D46" s="129"/>
      <c r="E46" s="104">
        <v>2</v>
      </c>
      <c r="F46" s="108">
        <f t="shared" si="2"/>
        <v>38810</v>
      </c>
      <c r="G46" s="130"/>
      <c r="H46" s="104">
        <f>Mailed!B48</f>
        <v>1</v>
      </c>
      <c r="I46" s="108" t="e">
        <f t="shared" ref="I46" si="6">I45+H46</f>
        <v>#REF!</v>
      </c>
    </row>
    <row r="47" spans="1:9" x14ac:dyDescent="0.2">
      <c r="A47" s="109">
        <v>44</v>
      </c>
      <c r="B47" s="110">
        <v>0</v>
      </c>
      <c r="C47" s="116">
        <f t="shared" si="0"/>
        <v>4055</v>
      </c>
      <c r="D47" s="129"/>
      <c r="E47" s="104">
        <v>0</v>
      </c>
      <c r="F47" s="108">
        <f t="shared" si="2"/>
        <v>38810</v>
      </c>
      <c r="G47" s="130"/>
      <c r="H47" s="105"/>
      <c r="I47" s="112"/>
    </row>
    <row r="48" spans="1:9" x14ac:dyDescent="0.2">
      <c r="A48" s="109">
        <v>45</v>
      </c>
      <c r="B48" s="110">
        <v>0</v>
      </c>
      <c r="C48" s="116">
        <f t="shared" si="0"/>
        <v>4055</v>
      </c>
      <c r="D48" s="129"/>
      <c r="E48" s="104">
        <v>0</v>
      </c>
      <c r="F48" s="108">
        <f t="shared" si="2"/>
        <v>38810</v>
      </c>
      <c r="G48" s="130"/>
      <c r="H48" s="105"/>
      <c r="I48" s="112"/>
    </row>
    <row r="49" spans="1:9" x14ac:dyDescent="0.2">
      <c r="A49" s="109">
        <v>46</v>
      </c>
      <c r="B49" s="117">
        <v>0</v>
      </c>
      <c r="C49" s="116">
        <f t="shared" si="0"/>
        <v>4055</v>
      </c>
      <c r="D49" s="129"/>
      <c r="E49" s="118">
        <v>0</v>
      </c>
      <c r="F49" s="108">
        <f t="shared" si="2"/>
        <v>38810</v>
      </c>
      <c r="G49" s="130"/>
      <c r="H49" s="121"/>
      <c r="I49" s="112"/>
    </row>
    <row r="50" spans="1:9" x14ac:dyDescent="0.2">
      <c r="A50" s="122"/>
      <c r="B50" s="123">
        <f>SUM(B4:B49)</f>
        <v>4055</v>
      </c>
      <c r="C50" s="123"/>
      <c r="D50" s="123"/>
      <c r="E50" s="124">
        <f>SUM(E4:E49)</f>
        <v>38810</v>
      </c>
      <c r="F50" s="125"/>
      <c r="G50" s="127"/>
      <c r="H50" s="124" t="e">
        <f>SUM(H4:H49)</f>
        <v>#REF!</v>
      </c>
      <c r="I50" s="120"/>
    </row>
  </sheetData>
  <mergeCells count="4">
    <mergeCell ref="H2:I2"/>
    <mergeCell ref="E2:F2"/>
    <mergeCell ref="B2:C2"/>
    <mergeCell ref="A1:I1"/>
  </mergeCells>
  <pageMargins left="0.7" right="0.7" top="0.75" bottom="0.75" header="0.3" footer="0.3"/>
  <pageSetup orientation="portrait" horizontalDpi="1200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F1294-A68A-4BD3-ADF5-AD36E4CE4524}">
  <dimension ref="A1:M48"/>
  <sheetViews>
    <sheetView showGridLines="0" topLeftCell="A2" workbookViewId="0">
      <selection activeCell="J51" sqref="J51"/>
    </sheetView>
  </sheetViews>
  <sheetFormatPr defaultColWidth="9" defaultRowHeight="14.25" x14ac:dyDescent="0.2"/>
  <cols>
    <col min="1" max="3" width="9" style="41"/>
    <col min="4" max="4" width="3.625" style="41" customWidth="1"/>
    <col min="5" max="7" width="9" style="41"/>
    <col min="8" max="8" width="3.625" style="41" customWidth="1"/>
    <col min="9" max="11" width="9" style="41"/>
    <col min="12" max="12" width="3.625" style="41" customWidth="1"/>
    <col min="13" max="16384" width="9" style="41"/>
  </cols>
  <sheetData>
    <row r="1" spans="1:12" ht="75" customHeight="1" x14ac:dyDescent="0.2">
      <c r="A1" s="609" t="s">
        <v>62</v>
      </c>
      <c r="B1" s="609"/>
      <c r="C1" s="609"/>
      <c r="D1" s="609"/>
      <c r="E1" s="609"/>
      <c r="F1" s="609"/>
      <c r="G1" s="609"/>
      <c r="H1" s="609"/>
      <c r="I1" s="609"/>
      <c r="J1" s="609"/>
      <c r="K1" s="609"/>
      <c r="L1" s="138"/>
    </row>
    <row r="2" spans="1:12" ht="24.75" customHeight="1" x14ac:dyDescent="0.2">
      <c r="A2" s="600" t="s">
        <v>53</v>
      </c>
      <c r="B2" s="601"/>
      <c r="C2" s="602"/>
      <c r="D2" s="146"/>
      <c r="E2" s="603" t="s">
        <v>55</v>
      </c>
      <c r="F2" s="604"/>
      <c r="G2" s="605"/>
      <c r="H2" s="146"/>
      <c r="I2" s="606" t="s">
        <v>54</v>
      </c>
      <c r="J2" s="607"/>
      <c r="K2" s="608"/>
    </row>
    <row r="3" spans="1:12" ht="45.75" thickBot="1" x14ac:dyDescent="0.3">
      <c r="A3" s="143" t="s">
        <v>52</v>
      </c>
      <c r="B3" s="144" t="s">
        <v>51</v>
      </c>
      <c r="C3" s="145" t="s">
        <v>56</v>
      </c>
      <c r="E3" s="143" t="s">
        <v>52</v>
      </c>
      <c r="F3" s="144" t="s">
        <v>51</v>
      </c>
      <c r="G3" s="145" t="s">
        <v>42</v>
      </c>
      <c r="I3" s="143" t="s">
        <v>52</v>
      </c>
      <c r="J3" s="144" t="s">
        <v>51</v>
      </c>
      <c r="K3" s="145" t="s">
        <v>42</v>
      </c>
    </row>
    <row r="4" spans="1:12" ht="15" x14ac:dyDescent="0.25">
      <c r="A4" s="103">
        <v>8</v>
      </c>
      <c r="B4" s="101">
        <v>0</v>
      </c>
      <c r="C4" s="142">
        <f>SUM(A4:B4)</f>
        <v>8</v>
      </c>
      <c r="E4" s="103">
        <v>4</v>
      </c>
      <c r="F4" s="101">
        <v>0</v>
      </c>
      <c r="G4" s="142">
        <f>SUM(E4:F4)</f>
        <v>4</v>
      </c>
      <c r="I4" s="103" t="e">
        <f>'Compare Early with ''17 &amp; ''20'!I4</f>
        <v>#REF!</v>
      </c>
      <c r="J4" s="100" t="e">
        <f>'Compare Mailed with ''17 &amp; ''20'!I5</f>
        <v>#REF!</v>
      </c>
      <c r="K4" s="272" t="e">
        <f>SUM(I4:J4)</f>
        <v>#REF!</v>
      </c>
    </row>
    <row r="5" spans="1:12" x14ac:dyDescent="0.2">
      <c r="A5" s="104">
        <v>13</v>
      </c>
      <c r="B5" s="100">
        <v>2248</v>
      </c>
      <c r="C5" s="108">
        <f t="shared" ref="C5:C47" si="0">SUM(A5:B5)</f>
        <v>2261</v>
      </c>
      <c r="E5" s="104">
        <v>4</v>
      </c>
      <c r="F5" s="100">
        <v>5114</v>
      </c>
      <c r="G5" s="108">
        <f t="shared" ref="G5:G47" si="1">SUM(E5:F5)</f>
        <v>5118</v>
      </c>
      <c r="I5" s="103" t="e">
        <f>'Compare Early with ''17 &amp; ''20'!I5</f>
        <v>#REF!</v>
      </c>
      <c r="J5" s="100" t="e">
        <f>'Compare Mailed with ''17 &amp; ''20'!I6</f>
        <v>#REF!</v>
      </c>
      <c r="K5" s="272" t="e">
        <f t="shared" ref="K5:K46" si="2">SUM(I5:J5)</f>
        <v>#REF!</v>
      </c>
    </row>
    <row r="6" spans="1:12" x14ac:dyDescent="0.2">
      <c r="A6" s="104">
        <v>13</v>
      </c>
      <c r="B6" s="100">
        <v>2248</v>
      </c>
      <c r="C6" s="108">
        <f t="shared" si="0"/>
        <v>2261</v>
      </c>
      <c r="E6" s="104">
        <v>4</v>
      </c>
      <c r="F6" s="100">
        <v>5114</v>
      </c>
      <c r="G6" s="108">
        <f t="shared" si="1"/>
        <v>5118</v>
      </c>
      <c r="I6" s="103" t="e">
        <f>'Compare Early with ''17 &amp; ''20'!I6</f>
        <v>#REF!</v>
      </c>
      <c r="J6" s="100" t="e">
        <f>'Compare Mailed with ''17 &amp; ''20'!I7</f>
        <v>#REF!</v>
      </c>
      <c r="K6" s="272" t="e">
        <f t="shared" si="2"/>
        <v>#REF!</v>
      </c>
    </row>
    <row r="7" spans="1:12" x14ac:dyDescent="0.2">
      <c r="A7" s="104">
        <v>23</v>
      </c>
      <c r="B7" s="100">
        <v>2248</v>
      </c>
      <c r="C7" s="108">
        <f t="shared" si="0"/>
        <v>2271</v>
      </c>
      <c r="E7" s="104">
        <v>8</v>
      </c>
      <c r="F7" s="100">
        <v>5114</v>
      </c>
      <c r="G7" s="108">
        <f t="shared" si="1"/>
        <v>5122</v>
      </c>
      <c r="I7" s="103" t="e">
        <f>'Compare Early with ''17 &amp; ''20'!I7</f>
        <v>#REF!</v>
      </c>
      <c r="J7" s="100" t="e">
        <f>'Compare Mailed with ''17 &amp; ''20'!I8</f>
        <v>#REF!</v>
      </c>
      <c r="K7" s="272" t="e">
        <f t="shared" si="2"/>
        <v>#REF!</v>
      </c>
    </row>
    <row r="8" spans="1:12" x14ac:dyDescent="0.2">
      <c r="A8" s="104">
        <v>27</v>
      </c>
      <c r="B8" s="100">
        <v>2248</v>
      </c>
      <c r="C8" s="108">
        <f t="shared" si="0"/>
        <v>2275</v>
      </c>
      <c r="E8" s="104">
        <v>11</v>
      </c>
      <c r="F8" s="100">
        <v>5596</v>
      </c>
      <c r="G8" s="108">
        <f t="shared" si="1"/>
        <v>5607</v>
      </c>
      <c r="I8" s="103" t="e">
        <f>'Compare Early with ''17 &amp; ''20'!I8</f>
        <v>#REF!</v>
      </c>
      <c r="J8" s="100" t="e">
        <f>'Compare Mailed with ''17 &amp; ''20'!I9</f>
        <v>#REF!</v>
      </c>
      <c r="K8" s="272" t="e">
        <f t="shared" si="2"/>
        <v>#REF!</v>
      </c>
    </row>
    <row r="9" spans="1:12" x14ac:dyDescent="0.2">
      <c r="A9" s="104">
        <v>44</v>
      </c>
      <c r="B9" s="100">
        <v>2314</v>
      </c>
      <c r="C9" s="108">
        <f t="shared" si="0"/>
        <v>2358</v>
      </c>
      <c r="E9" s="104">
        <v>17</v>
      </c>
      <c r="F9" s="100">
        <v>6133</v>
      </c>
      <c r="G9" s="108">
        <f t="shared" si="1"/>
        <v>6150</v>
      </c>
      <c r="I9" s="103" t="e">
        <f>'Compare Early with ''17 &amp; ''20'!I9</f>
        <v>#REF!</v>
      </c>
      <c r="J9" s="100" t="e">
        <f>'Compare Mailed with ''17 &amp; ''20'!I10</f>
        <v>#REF!</v>
      </c>
      <c r="K9" s="272" t="e">
        <f t="shared" si="2"/>
        <v>#REF!</v>
      </c>
    </row>
    <row r="10" spans="1:12" x14ac:dyDescent="0.2">
      <c r="A10" s="104">
        <v>52</v>
      </c>
      <c r="B10" s="100">
        <v>2343</v>
      </c>
      <c r="C10" s="108">
        <f t="shared" si="0"/>
        <v>2395</v>
      </c>
      <c r="E10" s="104">
        <v>17</v>
      </c>
      <c r="F10" s="100">
        <v>6894</v>
      </c>
      <c r="G10" s="108">
        <f t="shared" si="1"/>
        <v>6911</v>
      </c>
      <c r="I10" s="103" t="e">
        <f>'Compare Early with ''17 &amp; ''20'!I10</f>
        <v>#REF!</v>
      </c>
      <c r="J10" s="100" t="e">
        <f>'Compare Mailed with ''17 &amp; ''20'!I11</f>
        <v>#REF!</v>
      </c>
      <c r="K10" s="272" t="e">
        <f t="shared" si="2"/>
        <v>#REF!</v>
      </c>
    </row>
    <row r="11" spans="1:12" x14ac:dyDescent="0.2">
      <c r="A11" s="104">
        <v>64</v>
      </c>
      <c r="B11" s="100">
        <v>2349</v>
      </c>
      <c r="C11" s="108">
        <f t="shared" si="0"/>
        <v>2413</v>
      </c>
      <c r="E11" s="104">
        <v>21</v>
      </c>
      <c r="F11" s="100">
        <v>7539</v>
      </c>
      <c r="G11" s="108">
        <f t="shared" si="1"/>
        <v>7560</v>
      </c>
      <c r="I11" s="103" t="e">
        <f>'Compare Early with ''17 &amp; ''20'!I11</f>
        <v>#REF!</v>
      </c>
      <c r="J11" s="100" t="e">
        <f>'Compare Mailed with ''17 &amp; ''20'!I12</f>
        <v>#REF!</v>
      </c>
      <c r="K11" s="272" t="e">
        <f t="shared" si="2"/>
        <v>#REF!</v>
      </c>
    </row>
    <row r="12" spans="1:12" x14ac:dyDescent="0.2">
      <c r="A12" s="104">
        <v>64</v>
      </c>
      <c r="B12" s="100">
        <v>2400</v>
      </c>
      <c r="C12" s="108">
        <f t="shared" si="0"/>
        <v>2464</v>
      </c>
      <c r="E12" s="104">
        <v>21</v>
      </c>
      <c r="F12" s="100">
        <v>8783</v>
      </c>
      <c r="G12" s="108">
        <f t="shared" si="1"/>
        <v>8804</v>
      </c>
      <c r="I12" s="103" t="e">
        <f>'Compare Early with ''17 &amp; ''20'!I12</f>
        <v>#REF!</v>
      </c>
      <c r="J12" s="100" t="e">
        <f>'Compare Mailed with ''17 &amp; ''20'!I13</f>
        <v>#REF!</v>
      </c>
      <c r="K12" s="272" t="e">
        <f t="shared" si="2"/>
        <v>#REF!</v>
      </c>
    </row>
    <row r="13" spans="1:12" x14ac:dyDescent="0.2">
      <c r="A13" s="104">
        <v>64</v>
      </c>
      <c r="B13" s="100">
        <v>2400</v>
      </c>
      <c r="C13" s="108">
        <f t="shared" si="0"/>
        <v>2464</v>
      </c>
      <c r="E13" s="104">
        <v>21</v>
      </c>
      <c r="F13" s="100">
        <v>8783</v>
      </c>
      <c r="G13" s="108">
        <f t="shared" si="1"/>
        <v>8804</v>
      </c>
      <c r="I13" s="103" t="e">
        <f>'Compare Early with ''17 &amp; ''20'!I13</f>
        <v>#REF!</v>
      </c>
      <c r="J13" s="100" t="e">
        <f>'Compare Mailed with ''17 &amp; ''20'!I14</f>
        <v>#REF!</v>
      </c>
      <c r="K13" s="272" t="e">
        <f t="shared" si="2"/>
        <v>#REF!</v>
      </c>
    </row>
    <row r="14" spans="1:12" x14ac:dyDescent="0.2">
      <c r="A14" s="104">
        <v>85</v>
      </c>
      <c r="B14" s="100">
        <v>2400</v>
      </c>
      <c r="C14" s="108">
        <f t="shared" si="0"/>
        <v>2485</v>
      </c>
      <c r="E14" s="104">
        <v>22</v>
      </c>
      <c r="F14" s="100">
        <v>8783</v>
      </c>
      <c r="G14" s="108">
        <f t="shared" si="1"/>
        <v>8805</v>
      </c>
      <c r="I14" s="103" t="e">
        <f>'Compare Early with ''17 &amp; ''20'!I14</f>
        <v>#REF!</v>
      </c>
      <c r="J14" s="100" t="e">
        <f>'Compare Mailed with ''17 &amp; ''20'!I15</f>
        <v>#REF!</v>
      </c>
      <c r="K14" s="272" t="e">
        <f t="shared" si="2"/>
        <v>#REF!</v>
      </c>
    </row>
    <row r="15" spans="1:12" x14ac:dyDescent="0.2">
      <c r="A15" s="104">
        <v>100</v>
      </c>
      <c r="B15" s="100">
        <v>2400</v>
      </c>
      <c r="C15" s="108">
        <f t="shared" si="0"/>
        <v>2500</v>
      </c>
      <c r="E15" s="104">
        <v>23</v>
      </c>
      <c r="F15" s="100">
        <v>9922</v>
      </c>
      <c r="G15" s="108">
        <f t="shared" si="1"/>
        <v>9945</v>
      </c>
      <c r="I15" s="103" t="e">
        <f>'Compare Early with ''17 &amp; ''20'!I15</f>
        <v>#REF!</v>
      </c>
      <c r="J15" s="100" t="e">
        <f>'Compare Mailed with ''17 &amp; ''20'!I16</f>
        <v>#REF!</v>
      </c>
      <c r="K15" s="272" t="e">
        <f t="shared" si="2"/>
        <v>#REF!</v>
      </c>
    </row>
    <row r="16" spans="1:12" x14ac:dyDescent="0.2">
      <c r="A16" s="104">
        <v>115</v>
      </c>
      <c r="B16" s="100">
        <v>2495</v>
      </c>
      <c r="C16" s="108">
        <f t="shared" si="0"/>
        <v>2610</v>
      </c>
      <c r="E16" s="104">
        <v>26</v>
      </c>
      <c r="F16" s="100">
        <v>11369</v>
      </c>
      <c r="G16" s="108">
        <f t="shared" si="1"/>
        <v>11395</v>
      </c>
      <c r="I16" s="103" t="e">
        <f>'Compare Early with ''17 &amp; ''20'!I16</f>
        <v>#REF!</v>
      </c>
      <c r="J16" s="100" t="e">
        <f>'Compare Mailed with ''17 &amp; ''20'!I17</f>
        <v>#REF!</v>
      </c>
      <c r="K16" s="272" t="e">
        <f t="shared" si="2"/>
        <v>#REF!</v>
      </c>
    </row>
    <row r="17" spans="1:13" x14ac:dyDescent="0.2">
      <c r="A17" s="104">
        <v>126</v>
      </c>
      <c r="B17" s="100">
        <v>2495</v>
      </c>
      <c r="C17" s="108">
        <f t="shared" si="0"/>
        <v>2621</v>
      </c>
      <c r="E17" s="104">
        <v>31</v>
      </c>
      <c r="F17" s="100">
        <v>11725</v>
      </c>
      <c r="G17" s="108">
        <f t="shared" si="1"/>
        <v>11756</v>
      </c>
      <c r="I17" s="103" t="e">
        <f>'Compare Early with ''17 &amp; ''20'!I17</f>
        <v>#REF!</v>
      </c>
      <c r="J17" s="100" t="e">
        <f>'Compare Mailed with ''17 &amp; ''20'!I18</f>
        <v>#REF!</v>
      </c>
      <c r="K17" s="272" t="e">
        <f t="shared" si="2"/>
        <v>#REF!</v>
      </c>
    </row>
    <row r="18" spans="1:13" x14ac:dyDescent="0.2">
      <c r="A18" s="104">
        <v>134</v>
      </c>
      <c r="B18" s="100">
        <v>2551</v>
      </c>
      <c r="C18" s="108">
        <f t="shared" si="0"/>
        <v>2685</v>
      </c>
      <c r="E18" s="104">
        <v>32</v>
      </c>
      <c r="F18" s="100">
        <v>12771</v>
      </c>
      <c r="G18" s="108">
        <f t="shared" si="1"/>
        <v>12803</v>
      </c>
      <c r="I18" s="103" t="e">
        <f>'Compare Early with ''17 &amp; ''20'!I18</f>
        <v>#REF!</v>
      </c>
      <c r="J18" s="100" t="e">
        <f>'Compare Mailed with ''17 &amp; ''20'!I19</f>
        <v>#REF!</v>
      </c>
      <c r="K18" s="272" t="e">
        <f t="shared" si="2"/>
        <v>#REF!</v>
      </c>
    </row>
    <row r="19" spans="1:13" x14ac:dyDescent="0.2">
      <c r="A19" s="104">
        <v>134</v>
      </c>
      <c r="B19" s="100">
        <v>2551</v>
      </c>
      <c r="C19" s="108">
        <f t="shared" si="0"/>
        <v>2685</v>
      </c>
      <c r="E19" s="104">
        <v>32</v>
      </c>
      <c r="F19" s="100">
        <v>14678</v>
      </c>
      <c r="G19" s="108">
        <f t="shared" si="1"/>
        <v>14710</v>
      </c>
      <c r="I19" s="103" t="e">
        <f>'Compare Early with ''17 &amp; ''20'!I19</f>
        <v>#REF!</v>
      </c>
      <c r="J19" s="100" t="e">
        <f>'Compare Mailed with ''17 &amp; ''20'!I20</f>
        <v>#REF!</v>
      </c>
      <c r="K19" s="272" t="e">
        <f t="shared" si="2"/>
        <v>#REF!</v>
      </c>
    </row>
    <row r="20" spans="1:13" x14ac:dyDescent="0.2">
      <c r="A20" s="104">
        <v>134</v>
      </c>
      <c r="B20" s="100">
        <v>2551</v>
      </c>
      <c r="C20" s="108">
        <f t="shared" si="0"/>
        <v>2685</v>
      </c>
      <c r="E20" s="104">
        <v>32</v>
      </c>
      <c r="F20" s="100">
        <v>14678</v>
      </c>
      <c r="G20" s="108">
        <f t="shared" si="1"/>
        <v>14710</v>
      </c>
      <c r="I20" s="103" t="e">
        <f>'Compare Early with ''17 &amp; ''20'!I20</f>
        <v>#REF!</v>
      </c>
      <c r="J20" s="100" t="e">
        <f>'Compare Mailed with ''17 &amp; ''20'!I21</f>
        <v>#REF!</v>
      </c>
      <c r="K20" s="272" t="e">
        <f t="shared" si="2"/>
        <v>#REF!</v>
      </c>
    </row>
    <row r="21" spans="1:13" x14ac:dyDescent="0.2">
      <c r="A21" s="104">
        <v>148</v>
      </c>
      <c r="B21" s="100">
        <v>2551</v>
      </c>
      <c r="C21" s="108">
        <f t="shared" si="0"/>
        <v>2699</v>
      </c>
      <c r="E21" s="104">
        <v>32</v>
      </c>
      <c r="F21" s="100">
        <v>14678</v>
      </c>
      <c r="G21" s="108">
        <f t="shared" si="1"/>
        <v>14710</v>
      </c>
      <c r="I21" s="103" t="e">
        <f>'Compare Early with ''17 &amp; ''20'!I21</f>
        <v>#REF!</v>
      </c>
      <c r="J21" s="100" t="e">
        <f>'Compare Mailed with ''17 &amp; ''20'!I22</f>
        <v>#REF!</v>
      </c>
      <c r="K21" s="272" t="e">
        <f t="shared" si="2"/>
        <v>#REF!</v>
      </c>
    </row>
    <row r="22" spans="1:13" x14ac:dyDescent="0.2">
      <c r="A22" s="104">
        <v>176</v>
      </c>
      <c r="B22" s="100">
        <v>2631</v>
      </c>
      <c r="C22" s="108">
        <f t="shared" si="0"/>
        <v>2807</v>
      </c>
      <c r="E22" s="104">
        <v>34</v>
      </c>
      <c r="F22" s="100">
        <v>14678</v>
      </c>
      <c r="G22" s="108">
        <f t="shared" si="1"/>
        <v>14712</v>
      </c>
      <c r="I22" s="103" t="e">
        <f>'Compare Early with ''17 &amp; ''20'!I22</f>
        <v>#REF!</v>
      </c>
      <c r="J22" s="100" t="e">
        <f>'Compare Mailed with ''17 &amp; ''20'!I23</f>
        <v>#REF!</v>
      </c>
      <c r="K22" s="272" t="e">
        <f t="shared" si="2"/>
        <v>#REF!</v>
      </c>
    </row>
    <row r="23" spans="1:13" x14ac:dyDescent="0.2">
      <c r="A23" s="104">
        <v>192</v>
      </c>
      <c r="B23" s="100">
        <v>2639</v>
      </c>
      <c r="C23" s="108">
        <f t="shared" si="0"/>
        <v>2831</v>
      </c>
      <c r="E23" s="104">
        <v>41</v>
      </c>
      <c r="F23" s="100">
        <v>16522</v>
      </c>
      <c r="G23" s="108">
        <f t="shared" si="1"/>
        <v>16563</v>
      </c>
      <c r="I23" s="103" t="e">
        <f>'Compare Early with ''17 &amp; ''20'!I23</f>
        <v>#REF!</v>
      </c>
      <c r="J23" s="100" t="e">
        <f>'Compare Mailed with ''17 &amp; ''20'!I24</f>
        <v>#REF!</v>
      </c>
      <c r="K23" s="272" t="e">
        <f t="shared" si="2"/>
        <v>#REF!</v>
      </c>
    </row>
    <row r="24" spans="1:13" x14ac:dyDescent="0.2">
      <c r="A24" s="104">
        <v>229</v>
      </c>
      <c r="B24" s="100">
        <v>2696</v>
      </c>
      <c r="C24" s="108">
        <f t="shared" si="0"/>
        <v>2925</v>
      </c>
      <c r="E24" s="104">
        <v>42</v>
      </c>
      <c r="F24" s="100">
        <v>18071</v>
      </c>
      <c r="G24" s="108">
        <f t="shared" si="1"/>
        <v>18113</v>
      </c>
      <c r="I24" s="103" t="e">
        <f>'Compare Early with ''17 &amp; ''20'!I24</f>
        <v>#REF!</v>
      </c>
      <c r="J24" s="100" t="e">
        <f>'Compare Mailed with ''17 &amp; ''20'!I25</f>
        <v>#REF!</v>
      </c>
      <c r="K24" s="272" t="e">
        <f t="shared" si="2"/>
        <v>#REF!</v>
      </c>
    </row>
    <row r="25" spans="1:13" x14ac:dyDescent="0.2">
      <c r="A25" s="104">
        <v>254</v>
      </c>
      <c r="B25" s="100">
        <v>2762</v>
      </c>
      <c r="C25" s="108">
        <f t="shared" si="0"/>
        <v>3016</v>
      </c>
      <c r="E25" s="104">
        <v>50</v>
      </c>
      <c r="F25" s="100">
        <v>19603</v>
      </c>
      <c r="G25" s="108">
        <f t="shared" si="1"/>
        <v>19653</v>
      </c>
      <c r="I25" s="103" t="e">
        <f>'Compare Early with ''17 &amp; ''20'!I25</f>
        <v>#REF!</v>
      </c>
      <c r="J25" s="100" t="e">
        <f>'Compare Mailed with ''17 &amp; ''20'!I26</f>
        <v>#REF!</v>
      </c>
      <c r="K25" s="108" t="e">
        <f t="shared" si="2"/>
        <v>#REF!</v>
      </c>
    </row>
    <row r="26" spans="1:13" x14ac:dyDescent="0.2">
      <c r="A26" s="104">
        <v>254</v>
      </c>
      <c r="B26" s="100">
        <v>2762</v>
      </c>
      <c r="C26" s="108">
        <f t="shared" si="0"/>
        <v>3016</v>
      </c>
      <c r="E26" s="104">
        <v>50</v>
      </c>
      <c r="F26" s="100">
        <v>21346</v>
      </c>
      <c r="G26" s="108">
        <f t="shared" si="1"/>
        <v>21396</v>
      </c>
      <c r="I26" s="103" t="e">
        <f>'Compare Early with ''17 &amp; ''20'!I26</f>
        <v>#REF!</v>
      </c>
      <c r="J26" s="100" t="e">
        <f>'Compare Mailed with ''17 &amp; ''20'!I27</f>
        <v>#REF!</v>
      </c>
      <c r="K26" s="108" t="e">
        <f t="shared" si="2"/>
        <v>#REF!</v>
      </c>
    </row>
    <row r="27" spans="1:13" x14ac:dyDescent="0.2">
      <c r="A27" s="104">
        <v>254</v>
      </c>
      <c r="B27" s="100">
        <v>2762</v>
      </c>
      <c r="C27" s="108">
        <f t="shared" si="0"/>
        <v>3016</v>
      </c>
      <c r="E27" s="104">
        <v>50</v>
      </c>
      <c r="F27" s="100">
        <v>21346</v>
      </c>
      <c r="G27" s="108">
        <f t="shared" si="1"/>
        <v>21396</v>
      </c>
      <c r="I27" s="103" t="e">
        <f>'Compare Early with ''17 &amp; ''20'!I27</f>
        <v>#REF!</v>
      </c>
      <c r="J27" s="100" t="e">
        <f>'Compare Mailed with ''17 &amp; ''20'!I28</f>
        <v>#REF!</v>
      </c>
      <c r="K27" s="108" t="e">
        <f t="shared" si="2"/>
        <v>#REF!</v>
      </c>
    </row>
    <row r="28" spans="1:13" x14ac:dyDescent="0.2">
      <c r="A28" s="104">
        <v>295</v>
      </c>
      <c r="B28" s="100">
        <v>2762</v>
      </c>
      <c r="C28" s="108">
        <f t="shared" si="0"/>
        <v>3057</v>
      </c>
      <c r="E28" s="104">
        <v>53</v>
      </c>
      <c r="F28" s="100">
        <v>21346</v>
      </c>
      <c r="G28" s="108">
        <f t="shared" si="1"/>
        <v>21399</v>
      </c>
      <c r="I28" s="103" t="e">
        <f>'Compare Early with ''17 &amp; ''20'!I28</f>
        <v>#REF!</v>
      </c>
      <c r="J28" s="100" t="e">
        <f>'Compare Mailed with ''17 &amp; ''20'!I29</f>
        <v>#REF!</v>
      </c>
      <c r="K28" s="108" t="e">
        <f t="shared" si="2"/>
        <v>#REF!</v>
      </c>
      <c r="M28" s="273"/>
    </row>
    <row r="29" spans="1:13" x14ac:dyDescent="0.2">
      <c r="A29" s="104">
        <v>324</v>
      </c>
      <c r="B29" s="100">
        <v>2872</v>
      </c>
      <c r="C29" s="108">
        <f t="shared" si="0"/>
        <v>3196</v>
      </c>
      <c r="E29" s="104">
        <v>61</v>
      </c>
      <c r="F29" s="100">
        <v>23109</v>
      </c>
      <c r="G29" s="108">
        <f t="shared" si="1"/>
        <v>23170</v>
      </c>
      <c r="I29" s="103" t="e">
        <f>'Compare Early with ''17 &amp; ''20'!I29</f>
        <v>#REF!</v>
      </c>
      <c r="J29" s="100" t="e">
        <f>'Compare Mailed with ''17 &amp; ''20'!I30</f>
        <v>#REF!</v>
      </c>
      <c r="K29" s="108" t="e">
        <f t="shared" si="2"/>
        <v>#REF!</v>
      </c>
    </row>
    <row r="30" spans="1:13" x14ac:dyDescent="0.2">
      <c r="A30" s="104">
        <v>357</v>
      </c>
      <c r="B30" s="100">
        <v>2985</v>
      </c>
      <c r="C30" s="108">
        <f t="shared" si="0"/>
        <v>3342</v>
      </c>
      <c r="E30" s="104">
        <v>70</v>
      </c>
      <c r="F30" s="100">
        <v>25937</v>
      </c>
      <c r="G30" s="108">
        <f t="shared" si="1"/>
        <v>26007</v>
      </c>
      <c r="I30" s="103" t="e">
        <f>'Compare Early with ''17 &amp; ''20'!I30</f>
        <v>#REF!</v>
      </c>
      <c r="J30" s="100" t="e">
        <f>'Compare Mailed with ''17 &amp; ''20'!I31</f>
        <v>#REF!</v>
      </c>
      <c r="K30" s="108" t="e">
        <f t="shared" si="2"/>
        <v>#REF!</v>
      </c>
    </row>
    <row r="31" spans="1:13" x14ac:dyDescent="0.2">
      <c r="A31" s="104">
        <v>395</v>
      </c>
      <c r="B31" s="100">
        <v>3053</v>
      </c>
      <c r="C31" s="108">
        <f t="shared" si="0"/>
        <v>3448</v>
      </c>
      <c r="E31" s="104">
        <v>77</v>
      </c>
      <c r="F31" s="100">
        <v>26660</v>
      </c>
      <c r="G31" s="108">
        <f t="shared" si="1"/>
        <v>26737</v>
      </c>
      <c r="I31" s="103" t="e">
        <f>'Compare Early with ''17 &amp; ''20'!I31</f>
        <v>#REF!</v>
      </c>
      <c r="J31" s="100" t="e">
        <f>'Compare Mailed with ''17 &amp; ''20'!I32</f>
        <v>#REF!</v>
      </c>
      <c r="K31" s="108" t="e">
        <f t="shared" si="2"/>
        <v>#REF!</v>
      </c>
    </row>
    <row r="32" spans="1:13" x14ac:dyDescent="0.2">
      <c r="A32" s="104">
        <v>435</v>
      </c>
      <c r="B32" s="100">
        <v>3108</v>
      </c>
      <c r="C32" s="108">
        <f t="shared" si="0"/>
        <v>3543</v>
      </c>
      <c r="E32" s="104">
        <v>84</v>
      </c>
      <c r="F32" s="100">
        <v>28380</v>
      </c>
      <c r="G32" s="108">
        <f t="shared" si="1"/>
        <v>28464</v>
      </c>
      <c r="I32" s="103" t="e">
        <f>'Compare Early with ''17 &amp; ''20'!I32</f>
        <v>#REF!</v>
      </c>
      <c r="J32" s="100" t="e">
        <f>'Compare Mailed with ''17 &amp; ''20'!I33</f>
        <v>#REF!</v>
      </c>
      <c r="K32" s="108" t="e">
        <f t="shared" si="2"/>
        <v>#REF!</v>
      </c>
    </row>
    <row r="33" spans="1:11" x14ac:dyDescent="0.2">
      <c r="A33" s="104">
        <v>435</v>
      </c>
      <c r="B33" s="100">
        <v>3155</v>
      </c>
      <c r="C33" s="108">
        <f t="shared" si="0"/>
        <v>3590</v>
      </c>
      <c r="E33" s="104">
        <v>84</v>
      </c>
      <c r="F33" s="100">
        <v>29759</v>
      </c>
      <c r="G33" s="108">
        <f t="shared" si="1"/>
        <v>29843</v>
      </c>
      <c r="I33" s="103" t="e">
        <f>'Compare Early with ''17 &amp; ''20'!I33</f>
        <v>#REF!</v>
      </c>
      <c r="J33" s="100" t="e">
        <f>'Compare Mailed with ''17 &amp; ''20'!I34</f>
        <v>#REF!</v>
      </c>
      <c r="K33" s="108" t="e">
        <f t="shared" si="2"/>
        <v>#REF!</v>
      </c>
    </row>
    <row r="34" spans="1:11" x14ac:dyDescent="0.2">
      <c r="A34" s="104">
        <v>435</v>
      </c>
      <c r="B34" s="100">
        <v>3155</v>
      </c>
      <c r="C34" s="108">
        <f t="shared" si="0"/>
        <v>3590</v>
      </c>
      <c r="E34" s="104">
        <v>84</v>
      </c>
      <c r="F34" s="100">
        <v>29759</v>
      </c>
      <c r="G34" s="108">
        <f t="shared" si="1"/>
        <v>29843</v>
      </c>
      <c r="I34" s="103" t="e">
        <f>'Compare Early with ''17 &amp; ''20'!I34</f>
        <v>#REF!</v>
      </c>
      <c r="J34" s="100" t="e">
        <f>'Compare Mailed with ''17 &amp; ''20'!I35</f>
        <v>#REF!</v>
      </c>
      <c r="K34" s="108" t="e">
        <f t="shared" si="2"/>
        <v>#REF!</v>
      </c>
    </row>
    <row r="35" spans="1:11" x14ac:dyDescent="0.2">
      <c r="A35" s="104">
        <v>435</v>
      </c>
      <c r="B35" s="100">
        <v>3155</v>
      </c>
      <c r="C35" s="108">
        <f t="shared" si="0"/>
        <v>3590</v>
      </c>
      <c r="E35" s="104">
        <v>96</v>
      </c>
      <c r="F35" s="100">
        <v>29759</v>
      </c>
      <c r="G35" s="108">
        <f t="shared" si="1"/>
        <v>29855</v>
      </c>
      <c r="I35" s="103" t="e">
        <f>'Compare Early with ''17 &amp; ''20'!I35</f>
        <v>#REF!</v>
      </c>
      <c r="J35" s="100" t="e">
        <f>'Compare Mailed with ''17 &amp; ''20'!I36</f>
        <v>#REF!</v>
      </c>
      <c r="K35" s="108" t="e">
        <f t="shared" si="2"/>
        <v>#REF!</v>
      </c>
    </row>
    <row r="36" spans="1:11" x14ac:dyDescent="0.2">
      <c r="A36" s="104">
        <v>485</v>
      </c>
      <c r="B36" s="100">
        <v>3155</v>
      </c>
      <c r="C36" s="108">
        <f t="shared" si="0"/>
        <v>3640</v>
      </c>
      <c r="E36" s="104">
        <v>100</v>
      </c>
      <c r="F36" s="100">
        <v>31059</v>
      </c>
      <c r="G36" s="108">
        <f t="shared" si="1"/>
        <v>31159</v>
      </c>
      <c r="I36" s="103" t="e">
        <f>'Compare Early with ''17 &amp; ''20'!I36</f>
        <v>#REF!</v>
      </c>
      <c r="J36" s="100" t="e">
        <f>'Compare Mailed with ''17 &amp; ''20'!I37</f>
        <v>#REF!</v>
      </c>
      <c r="K36" s="108" t="e">
        <f t="shared" si="2"/>
        <v>#REF!</v>
      </c>
    </row>
    <row r="37" spans="1:11" x14ac:dyDescent="0.2">
      <c r="A37" s="104">
        <v>560</v>
      </c>
      <c r="B37" s="100">
        <v>3314</v>
      </c>
      <c r="C37" s="108">
        <f t="shared" si="0"/>
        <v>3874</v>
      </c>
      <c r="E37" s="104">
        <v>113</v>
      </c>
      <c r="F37" s="100">
        <v>32129</v>
      </c>
      <c r="G37" s="108">
        <f t="shared" si="1"/>
        <v>32242</v>
      </c>
      <c r="I37" s="103" t="e">
        <f>'Compare Early with ''17 &amp; ''20'!I37</f>
        <v>#REF!</v>
      </c>
      <c r="J37" s="100" t="e">
        <f>'Compare Mailed with ''17 &amp; ''20'!I38</f>
        <v>#REF!</v>
      </c>
      <c r="K37" s="108" t="e">
        <f t="shared" si="2"/>
        <v>#REF!</v>
      </c>
    </row>
    <row r="38" spans="1:11" x14ac:dyDescent="0.2">
      <c r="A38" s="104">
        <v>624</v>
      </c>
      <c r="B38" s="100">
        <v>3414</v>
      </c>
      <c r="C38" s="108">
        <f t="shared" si="0"/>
        <v>4038</v>
      </c>
      <c r="E38" s="104">
        <v>119</v>
      </c>
      <c r="F38" s="100">
        <v>32790</v>
      </c>
      <c r="G38" s="108">
        <f t="shared" si="1"/>
        <v>32909</v>
      </c>
      <c r="I38" s="103" t="e">
        <f>'Compare Early with ''17 &amp; ''20'!I38</f>
        <v>#REF!</v>
      </c>
      <c r="J38" s="100" t="e">
        <f>'Compare Mailed with ''17 &amp; ''20'!I39</f>
        <v>#REF!</v>
      </c>
      <c r="K38" s="108" t="e">
        <f t="shared" si="2"/>
        <v>#REF!</v>
      </c>
    </row>
    <row r="39" spans="1:11" x14ac:dyDescent="0.2">
      <c r="A39" s="104">
        <v>682</v>
      </c>
      <c r="B39" s="100">
        <v>3480</v>
      </c>
      <c r="C39" s="108">
        <f t="shared" si="0"/>
        <v>4162</v>
      </c>
      <c r="E39" s="104">
        <v>144</v>
      </c>
      <c r="F39" s="100">
        <v>33843</v>
      </c>
      <c r="G39" s="108">
        <f t="shared" si="1"/>
        <v>33987</v>
      </c>
      <c r="I39" s="103" t="e">
        <f>'Compare Early with ''17 &amp; ''20'!I39</f>
        <v>#REF!</v>
      </c>
      <c r="J39" s="100" t="e">
        <f>'Compare Mailed with ''17 &amp; ''20'!I40</f>
        <v>#REF!</v>
      </c>
      <c r="K39" s="108" t="e">
        <f t="shared" si="2"/>
        <v>#REF!</v>
      </c>
    </row>
    <row r="40" spans="1:11" x14ac:dyDescent="0.2">
      <c r="A40" s="104">
        <v>812</v>
      </c>
      <c r="B40" s="100">
        <v>3538</v>
      </c>
      <c r="C40" s="108">
        <f t="shared" si="0"/>
        <v>4350</v>
      </c>
      <c r="E40" s="104">
        <v>150</v>
      </c>
      <c r="F40" s="100">
        <v>34888</v>
      </c>
      <c r="G40" s="108">
        <f t="shared" si="1"/>
        <v>35038</v>
      </c>
      <c r="I40" s="103" t="e">
        <f>'Compare Early with ''17 &amp; ''20'!I40</f>
        <v>#REF!</v>
      </c>
      <c r="J40" s="100" t="e">
        <f>'Compare Mailed with ''17 &amp; ''20'!I41</f>
        <v>#REF!</v>
      </c>
      <c r="K40" s="108" t="e">
        <f t="shared" si="2"/>
        <v>#REF!</v>
      </c>
    </row>
    <row r="41" spans="1:11" x14ac:dyDescent="0.2">
      <c r="A41" s="104">
        <v>812</v>
      </c>
      <c r="B41" s="100">
        <v>3538</v>
      </c>
      <c r="C41" s="108">
        <f t="shared" si="0"/>
        <v>4350</v>
      </c>
      <c r="E41" s="104">
        <v>150</v>
      </c>
      <c r="F41" s="100">
        <v>34888</v>
      </c>
      <c r="G41" s="108">
        <f t="shared" si="1"/>
        <v>35038</v>
      </c>
      <c r="I41" s="103" t="e">
        <f>'Compare Early with ''17 &amp; ''20'!I41</f>
        <v>#REF!</v>
      </c>
      <c r="J41" s="100" t="e">
        <f>'Compare Mailed with ''17 &amp; ''20'!I42</f>
        <v>#REF!</v>
      </c>
      <c r="K41" s="108" t="e">
        <f t="shared" si="2"/>
        <v>#REF!</v>
      </c>
    </row>
    <row r="42" spans="1:11" x14ac:dyDescent="0.2">
      <c r="A42" s="104">
        <v>924</v>
      </c>
      <c r="B42" s="100">
        <v>3538</v>
      </c>
      <c r="C42" s="108">
        <f t="shared" si="0"/>
        <v>4462</v>
      </c>
      <c r="E42" s="104">
        <v>169</v>
      </c>
      <c r="F42" s="100">
        <v>34888</v>
      </c>
      <c r="G42" s="108">
        <f t="shared" si="1"/>
        <v>35057</v>
      </c>
      <c r="I42" s="103" t="e">
        <f>'Compare Early with ''17 &amp; ''20'!I42</f>
        <v>#REF!</v>
      </c>
      <c r="J42" s="100" t="e">
        <f>'Compare Mailed with ''17 &amp; ''20'!I43</f>
        <v>#REF!</v>
      </c>
      <c r="K42" s="108" t="e">
        <f t="shared" si="2"/>
        <v>#REF!</v>
      </c>
    </row>
    <row r="43" spans="1:11" x14ac:dyDescent="0.2">
      <c r="A43" s="104">
        <v>1038</v>
      </c>
      <c r="B43" s="100">
        <v>3668</v>
      </c>
      <c r="C43" s="108">
        <f t="shared" si="0"/>
        <v>4706</v>
      </c>
      <c r="E43" s="104">
        <v>200</v>
      </c>
      <c r="F43" s="100">
        <v>35582</v>
      </c>
      <c r="G43" s="108">
        <f t="shared" si="1"/>
        <v>35782</v>
      </c>
      <c r="I43" s="103" t="e">
        <f>'Compare Early with ''17 &amp; ''20'!I43</f>
        <v>#REF!</v>
      </c>
      <c r="J43" s="100" t="e">
        <f>'Compare Mailed with ''17 &amp; ''20'!I44</f>
        <v>#REF!</v>
      </c>
      <c r="K43" s="108" t="e">
        <f t="shared" si="2"/>
        <v>#REF!</v>
      </c>
    </row>
    <row r="44" spans="1:11" x14ac:dyDescent="0.2">
      <c r="A44" s="104">
        <v>1187</v>
      </c>
      <c r="B44" s="100">
        <v>3894</v>
      </c>
      <c r="C44" s="108">
        <f t="shared" si="0"/>
        <v>5081</v>
      </c>
      <c r="E44" s="104">
        <v>227</v>
      </c>
      <c r="F44" s="100">
        <v>37972</v>
      </c>
      <c r="G44" s="108">
        <f t="shared" si="1"/>
        <v>38199</v>
      </c>
      <c r="I44" s="103" t="e">
        <f>'Compare Early with ''17 &amp; ''20'!I44</f>
        <v>#REF!</v>
      </c>
      <c r="J44" s="100" t="e">
        <f>'Compare Mailed with ''17 &amp; ''20'!I45</f>
        <v>#REF!</v>
      </c>
      <c r="K44" s="108" t="e">
        <f t="shared" si="2"/>
        <v>#REF!</v>
      </c>
    </row>
    <row r="45" spans="1:11" x14ac:dyDescent="0.2">
      <c r="A45" s="104">
        <v>1312</v>
      </c>
      <c r="B45" s="100">
        <v>4055</v>
      </c>
      <c r="C45" s="108">
        <f t="shared" si="0"/>
        <v>5367</v>
      </c>
      <c r="E45" s="104">
        <v>248</v>
      </c>
      <c r="F45" s="100">
        <v>38808</v>
      </c>
      <c r="G45" s="108">
        <f t="shared" si="1"/>
        <v>39056</v>
      </c>
      <c r="I45" s="103" t="e">
        <f>'Compare Early with ''17 &amp; ''20'!I45</f>
        <v>#REF!</v>
      </c>
      <c r="J45" s="100" t="e">
        <f>'Compare Mailed with ''17 &amp; ''20'!I46</f>
        <v>#REF!</v>
      </c>
      <c r="K45" s="108" t="e">
        <f t="shared" si="2"/>
        <v>#REF!</v>
      </c>
    </row>
    <row r="46" spans="1:11" x14ac:dyDescent="0.2">
      <c r="A46" s="104">
        <v>1440</v>
      </c>
      <c r="B46" s="100">
        <v>4055</v>
      </c>
      <c r="C46" s="108">
        <f t="shared" si="0"/>
        <v>5495</v>
      </c>
      <c r="E46" s="104">
        <v>278</v>
      </c>
      <c r="F46" s="100">
        <v>38810</v>
      </c>
      <c r="G46" s="108">
        <f t="shared" si="1"/>
        <v>39088</v>
      </c>
      <c r="I46" s="103" t="e">
        <f>'Compare Early with ''17 &amp; ''20'!I46</f>
        <v>#REF!</v>
      </c>
      <c r="J46" s="100">
        <f>Mailed!B6</f>
        <v>82239</v>
      </c>
      <c r="K46" s="108" t="e">
        <f t="shared" si="2"/>
        <v>#REF!</v>
      </c>
    </row>
    <row r="47" spans="1:11" ht="15" x14ac:dyDescent="0.25">
      <c r="A47" s="118">
        <v>3121</v>
      </c>
      <c r="B47" s="135">
        <v>4055</v>
      </c>
      <c r="C47" s="137">
        <f t="shared" si="0"/>
        <v>7176</v>
      </c>
      <c r="E47" s="118">
        <v>315</v>
      </c>
      <c r="F47" s="135">
        <v>38810</v>
      </c>
      <c r="G47" s="137">
        <f t="shared" si="1"/>
        <v>39125</v>
      </c>
      <c r="I47" s="103" t="e">
        <f>'Compare Early with ''17 &amp; ''20'!I47</f>
        <v>#REF!</v>
      </c>
      <c r="J47" s="100" t="e">
        <f>Mailed!#REF!</f>
        <v>#REF!</v>
      </c>
      <c r="K47" s="108" t="e">
        <f t="shared" ref="K47" si="3">SUM(I47:J47)</f>
        <v>#REF!</v>
      </c>
    </row>
    <row r="48" spans="1:11" x14ac:dyDescent="0.2">
      <c r="A48" s="148">
        <f>A47/C47</f>
        <v>0.43492196209587514</v>
      </c>
      <c r="B48" s="148">
        <f>B47/C47</f>
        <v>0.56507803790412481</v>
      </c>
      <c r="C48" s="148"/>
      <c r="D48" s="148"/>
      <c r="E48" s="148">
        <f>E47/G47</f>
        <v>8.0511182108626202E-3</v>
      </c>
      <c r="F48" s="148">
        <f>F47/G47</f>
        <v>0.99194888178913743</v>
      </c>
    </row>
  </sheetData>
  <mergeCells count="4">
    <mergeCell ref="A1:K1"/>
    <mergeCell ref="A2:C2"/>
    <mergeCell ref="E2:G2"/>
    <mergeCell ref="I2:K2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Summary</vt:lpstr>
      <vt:lpstr>Mailed</vt:lpstr>
      <vt:lpstr>Early Voting Option</vt:lpstr>
      <vt:lpstr>Returned mail</vt:lpstr>
      <vt:lpstr>Returned Drop Box</vt:lpstr>
      <vt:lpstr>Early voting</vt:lpstr>
      <vt:lpstr>Sheet1</vt:lpstr>
      <vt:lpstr>In person instead</vt:lpstr>
      <vt:lpstr>Voter Stmt Curing</vt:lpstr>
      <vt:lpstr>Potential return</vt:lpstr>
      <vt:lpstr>For SOR</vt:lpstr>
      <vt:lpstr>Early Voting Trad</vt:lpstr>
      <vt:lpstr>AB Voting Early Instead</vt:lpstr>
      <vt:lpstr>Compare Early &amp; Returned</vt:lpstr>
      <vt:lpstr>Compare Return</vt:lpstr>
      <vt:lpstr>Compare Early with '17 &amp; '20</vt:lpstr>
      <vt:lpstr>Compare Mailed with '17 &amp; '20</vt:lpstr>
      <vt:lpstr>Compare Mailout+Early</vt:lpstr>
      <vt:lpstr>'Early voting'!Print_Area</vt:lpstr>
      <vt:lpstr>'For SOR'!Print_Area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Jones, Cheryl Sue</dc:creator>
  <cp:lastModifiedBy>Jones, Cheryl Sue</cp:lastModifiedBy>
  <cp:lastPrinted>2021-11-04T23:02:40Z</cp:lastPrinted>
  <dcterms:created xsi:type="dcterms:W3CDTF">2021-04-23T12:11:24Z</dcterms:created>
  <dcterms:modified xsi:type="dcterms:W3CDTF">2021-11-10T20:52:38Z</dcterms:modified>
</cp:coreProperties>
</file>