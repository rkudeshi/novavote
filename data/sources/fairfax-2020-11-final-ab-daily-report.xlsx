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backupFile="1" defaultThemeVersion="166925"/>
  <mc:AlternateContent xmlns:mc="http://schemas.openxmlformats.org/markup-compatibility/2006">
    <mc:Choice Requires="x15">
      <x15ac:absPath xmlns:x15ac="http://schemas.microsoft.com/office/spreadsheetml/2010/11/ac" url="O:\EB\DEPT_PUB\ELEC_BD\100. ABSENTEE\Absentee Voting\2020\4. Nov General\AB Daily Reports\"/>
    </mc:Choice>
  </mc:AlternateContent>
  <xr:revisionPtr revIDLastSave="0" documentId="8_{AB66FC3B-D67B-4AC0-A54C-779F8E93044E}" xr6:coauthVersionLast="45" xr6:coauthVersionMax="45" xr10:uidLastSave="{00000000-0000-0000-0000-000000000000}"/>
  <bookViews>
    <workbookView xWindow="33795" yWindow="660" windowWidth="15120" windowHeight="14355" tabRatio="785" xr2:uid="{E3BA3B7B-2921-43E7-AF4B-9105E7CF71DD}"/>
  </bookViews>
  <sheets>
    <sheet name="Summary" sheetId="2" r:id="rId1"/>
    <sheet name="Mailout" sheetId="3" r:id="rId2"/>
    <sheet name="Return by Mail" sheetId="8" r:id="rId3"/>
    <sheet name="Return by Dropbox" sheetId="15" r:id="rId4"/>
    <sheet name="In-Person Daily by Satellite" sheetId="9" r:id="rId5"/>
    <sheet name="G'rods &amp; Surrendered" sheetId="17" r:id="rId6"/>
    <sheet name="graphs" sheetId="16" r:id="rId7"/>
    <sheet name="Compare Mailed 2020, 16,18,19" sheetId="13" state="hidden" r:id="rId8"/>
    <sheet name="Compare Returns 2020,16,18,19" sheetId="11" state="hidden" r:id="rId9"/>
    <sheet name="Compare In-per 2020,16, 18,19" sheetId="12" state="hidden" r:id="rId10"/>
  </sheets>
  <definedNames>
    <definedName name="_xlnm.Print_Area" localSheetId="5">'G''rods &amp; Surrendered'!$A$1:$G$23</definedName>
    <definedName name="_xlnm.Print_Area" localSheetId="4">'In-Person Daily by Satellite'!$4:$5,'In-Person Daily by Satellite'!$50:$50</definedName>
    <definedName name="_xlnm.Print_Area" localSheetId="1">Mailout!$A$1:$U$53</definedName>
    <definedName name="_xlnm.Print_Area" localSheetId="3">'Return by Dropbox'!$A$4:$G$53</definedName>
    <definedName name="_xlnm.Print_Area" localSheetId="0">Summary!$A$2:$H$19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6" i="8" l="1"/>
  <c r="B7" i="15" l="1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4" i="15"/>
  <c r="B45" i="15"/>
  <c r="B46" i="15"/>
  <c r="B47" i="15"/>
  <c r="B48" i="15"/>
  <c r="B49" i="15"/>
  <c r="B51" i="15"/>
  <c r="B52" i="15"/>
  <c r="B6" i="15"/>
  <c r="F34" i="15"/>
  <c r="F35" i="15"/>
  <c r="F36" i="15"/>
  <c r="F37" i="15"/>
  <c r="F38" i="15"/>
  <c r="F39" i="15"/>
  <c r="F40" i="15"/>
  <c r="F41" i="15"/>
  <c r="F42" i="15"/>
  <c r="F44" i="15"/>
  <c r="F45" i="15"/>
  <c r="F46" i="15"/>
  <c r="F47" i="15"/>
  <c r="F48" i="15"/>
  <c r="F49" i="15"/>
  <c r="F51" i="15"/>
  <c r="F52" i="15"/>
  <c r="F33" i="15"/>
  <c r="E34" i="15"/>
  <c r="E35" i="15"/>
  <c r="E36" i="15"/>
  <c r="E37" i="15"/>
  <c r="E38" i="15"/>
  <c r="E39" i="15"/>
  <c r="E40" i="15"/>
  <c r="E41" i="15"/>
  <c r="E42" i="15"/>
  <c r="E44" i="15"/>
  <c r="E45" i="15"/>
  <c r="E46" i="15"/>
  <c r="E47" i="15"/>
  <c r="E48" i="15"/>
  <c r="E49" i="15"/>
  <c r="E51" i="15"/>
  <c r="E52" i="15"/>
  <c r="E33" i="15"/>
  <c r="D34" i="15"/>
  <c r="D35" i="15"/>
  <c r="D36" i="15"/>
  <c r="D37" i="15"/>
  <c r="D38" i="15"/>
  <c r="D39" i="15"/>
  <c r="D40" i="15"/>
  <c r="D41" i="15"/>
  <c r="D42" i="15"/>
  <c r="D44" i="15"/>
  <c r="D45" i="15"/>
  <c r="D46" i="15"/>
  <c r="D47" i="15"/>
  <c r="D48" i="15"/>
  <c r="D49" i="15"/>
  <c r="D51" i="15"/>
  <c r="D52" i="15"/>
  <c r="D32" i="15"/>
  <c r="C33" i="15"/>
  <c r="C34" i="15"/>
  <c r="C35" i="15"/>
  <c r="C36" i="15"/>
  <c r="C37" i="15"/>
  <c r="C38" i="15"/>
  <c r="C39" i="15"/>
  <c r="C40" i="15"/>
  <c r="C41" i="15"/>
  <c r="C42" i="15"/>
  <c r="C44" i="15"/>
  <c r="C45" i="15"/>
  <c r="C46" i="15"/>
  <c r="C47" i="15"/>
  <c r="C48" i="15"/>
  <c r="C49" i="15"/>
  <c r="C51" i="15"/>
  <c r="C32" i="15"/>
  <c r="C31" i="15"/>
  <c r="C30" i="15"/>
  <c r="C28" i="15"/>
  <c r="C27" i="15"/>
  <c r="C26" i="15"/>
  <c r="C25" i="15"/>
  <c r="C24" i="15"/>
  <c r="C23" i="15"/>
  <c r="C19" i="15"/>
  <c r="C18" i="15"/>
  <c r="C17" i="15"/>
  <c r="C16" i="15"/>
  <c r="C15" i="15"/>
  <c r="C14" i="15"/>
  <c r="C13" i="15"/>
  <c r="C12" i="15"/>
  <c r="C11" i="15"/>
  <c r="C10" i="15"/>
  <c r="C9" i="15"/>
  <c r="C7" i="15"/>
  <c r="C6" i="15"/>
  <c r="G51" i="15"/>
  <c r="G52" i="15"/>
  <c r="G53" i="15"/>
  <c r="C52" i="15"/>
  <c r="M54" i="15"/>
  <c r="CJ54" i="15"/>
  <c r="CE54" i="15"/>
  <c r="BZ54" i="15"/>
  <c r="BU54" i="15"/>
  <c r="BU55" i="15"/>
  <c r="BP54" i="15"/>
  <c r="BK54" i="15"/>
  <c r="BF54" i="15"/>
  <c r="E52" i="3"/>
  <c r="B52" i="3"/>
  <c r="S53" i="3"/>
  <c r="T53" i="3"/>
  <c r="BD50" i="9" l="1"/>
  <c r="E44" i="16"/>
  <c r="E47" i="16"/>
  <c r="M56" i="8"/>
  <c r="H56" i="8"/>
  <c r="B56" i="8" l="1"/>
  <c r="R56" i="8"/>
  <c r="C56" i="8"/>
  <c r="D56" i="8"/>
  <c r="Q55" i="8" l="1"/>
  <c r="L55" i="8"/>
  <c r="D46" i="16" l="1"/>
  <c r="D45" i="16"/>
  <c r="D44" i="16"/>
  <c r="H55" i="8"/>
  <c r="R55" i="8"/>
  <c r="V55" i="8" s="1"/>
  <c r="M55" i="8"/>
  <c r="B55" i="8" s="1"/>
  <c r="F55" i="8" s="1"/>
  <c r="G55" i="8"/>
  <c r="AA55" i="8"/>
  <c r="J52" i="15"/>
  <c r="H52" i="15"/>
  <c r="C55" i="8"/>
  <c r="D55" i="8"/>
  <c r="E55" i="8"/>
  <c r="B54" i="8"/>
  <c r="C54" i="8"/>
  <c r="R54" i="8"/>
  <c r="M54" i="8"/>
  <c r="H54" i="8"/>
  <c r="G54" i="8"/>
  <c r="E54" i="8"/>
  <c r="D54" i="8"/>
  <c r="I52" i="8"/>
  <c r="H52" i="8"/>
  <c r="R52" i="8"/>
  <c r="M52" i="8"/>
  <c r="R53" i="8"/>
  <c r="I51" i="15"/>
  <c r="H51" i="15"/>
  <c r="J51" i="15"/>
  <c r="L52" i="15"/>
  <c r="K52" i="15"/>
  <c r="I52" i="15"/>
  <c r="S53" i="8"/>
  <c r="M53" i="8"/>
  <c r="H53" i="8"/>
  <c r="E53" i="8"/>
  <c r="G53" i="8"/>
  <c r="D53" i="8"/>
  <c r="M52" i="15" l="1"/>
  <c r="C53" i="8"/>
  <c r="B53" i="8"/>
  <c r="F53" i="8" l="1"/>
  <c r="M51" i="15"/>
  <c r="E43" i="16" s="1"/>
  <c r="AK49" i="15"/>
  <c r="AJ49" i="15"/>
  <c r="AI49" i="15"/>
  <c r="AM49" i="15"/>
  <c r="AH49" i="15"/>
  <c r="X49" i="15"/>
  <c r="B52" i="8"/>
  <c r="C52" i="8"/>
  <c r="D52" i="8"/>
  <c r="E52" i="8"/>
  <c r="F52" i="8" l="1"/>
  <c r="D43" i="16" s="1"/>
  <c r="B49" i="8"/>
  <c r="C49" i="8"/>
  <c r="B50" i="8" l="1"/>
  <c r="S50" i="8"/>
  <c r="N50" i="8"/>
  <c r="I50" i="8"/>
  <c r="C50" i="8" s="1"/>
  <c r="R50" i="8"/>
  <c r="M50" i="8"/>
  <c r="H50" i="8"/>
  <c r="J49" i="15"/>
  <c r="I49" i="15"/>
  <c r="H49" i="15"/>
  <c r="AG49" i="15"/>
  <c r="CJ49" i="15"/>
  <c r="CE49" i="15"/>
  <c r="BZ49" i="15"/>
  <c r="BU49" i="15"/>
  <c r="BP48" i="15"/>
  <c r="BP49" i="15"/>
  <c r="BK49" i="15"/>
  <c r="BF49" i="15"/>
  <c r="BA49" i="15"/>
  <c r="AV49" i="15"/>
  <c r="AQ49" i="15"/>
  <c r="AL49" i="15"/>
  <c r="AB49" i="15"/>
  <c r="W49" i="15"/>
  <c r="W48" i="15"/>
  <c r="K49" i="15"/>
  <c r="G50" i="8"/>
  <c r="J50" i="8"/>
  <c r="E50" i="8"/>
  <c r="D50" i="8"/>
  <c r="F49" i="9"/>
  <c r="C49" i="9"/>
  <c r="D49" i="9"/>
  <c r="E49" i="9"/>
  <c r="Z49" i="9"/>
  <c r="CC49" i="9"/>
  <c r="BX49" i="9"/>
  <c r="BS49" i="9"/>
  <c r="BN49" i="9"/>
  <c r="BI49" i="9"/>
  <c r="BD49" i="9"/>
  <c r="AY49" i="9"/>
  <c r="AT49" i="9"/>
  <c r="AO49" i="9"/>
  <c r="AJ49" i="9"/>
  <c r="AE49" i="9"/>
  <c r="U49" i="9"/>
  <c r="P49" i="9"/>
  <c r="K49" i="9"/>
  <c r="E31" i="9"/>
  <c r="E24" i="9"/>
  <c r="F7" i="9"/>
  <c r="F6" i="9"/>
  <c r="K7" i="9"/>
  <c r="K6" i="9"/>
  <c r="G49" i="15"/>
  <c r="J48" i="15"/>
  <c r="I48" i="15"/>
  <c r="H48" i="15"/>
  <c r="M48" i="15" s="1"/>
  <c r="CJ48" i="15"/>
  <c r="CE48" i="15"/>
  <c r="BZ48" i="15"/>
  <c r="BU48" i="15"/>
  <c r="BK48" i="15"/>
  <c r="BF48" i="15"/>
  <c r="BA48" i="15"/>
  <c r="AV48" i="15"/>
  <c r="AQ48" i="15"/>
  <c r="AL48" i="15"/>
  <c r="AB48" i="15"/>
  <c r="K47" i="9"/>
  <c r="K48" i="9"/>
  <c r="M49" i="15" l="1"/>
  <c r="G48" i="15"/>
  <c r="AQ32" i="15"/>
  <c r="W44" i="15"/>
  <c r="K47" i="15"/>
  <c r="H47" i="15"/>
  <c r="I47" i="15"/>
  <c r="J47" i="15"/>
  <c r="K46" i="15"/>
  <c r="J46" i="15"/>
  <c r="I46" i="15"/>
  <c r="H46" i="15"/>
  <c r="D48" i="9"/>
  <c r="F48" i="9"/>
  <c r="E48" i="9"/>
  <c r="C48" i="9"/>
  <c r="CC48" i="9"/>
  <c r="BX48" i="9"/>
  <c r="BS48" i="9"/>
  <c r="BN48" i="9"/>
  <c r="BI48" i="9"/>
  <c r="BD48" i="9"/>
  <c r="AY48" i="9"/>
  <c r="AT48" i="9"/>
  <c r="AO48" i="9"/>
  <c r="AJ48" i="9"/>
  <c r="AE48" i="9"/>
  <c r="U48" i="9"/>
  <c r="P48" i="9"/>
  <c r="G46" i="15"/>
  <c r="G47" i="15"/>
  <c r="CJ47" i="15"/>
  <c r="CE47" i="15"/>
  <c r="BZ47" i="15"/>
  <c r="BU47" i="15"/>
  <c r="BP47" i="15"/>
  <c r="BK47" i="15"/>
  <c r="BF47" i="15"/>
  <c r="BA47" i="15"/>
  <c r="AV47" i="15"/>
  <c r="AQ47" i="15"/>
  <c r="AL47" i="15"/>
  <c r="AB47" i="15"/>
  <c r="W47" i="15"/>
  <c r="D49" i="3"/>
  <c r="C49" i="3"/>
  <c r="B49" i="3"/>
  <c r="CJ46" i="15"/>
  <c r="CE46" i="15"/>
  <c r="BZ46" i="15"/>
  <c r="BU46" i="15"/>
  <c r="BP46" i="15"/>
  <c r="BK46" i="15"/>
  <c r="BF46" i="15"/>
  <c r="BA46" i="15"/>
  <c r="AV46" i="15"/>
  <c r="AQ46" i="15"/>
  <c r="AL46" i="15"/>
  <c r="AB46" i="15"/>
  <c r="W46" i="15"/>
  <c r="R49" i="8"/>
  <c r="M49" i="8"/>
  <c r="H49" i="8"/>
  <c r="E49" i="8"/>
  <c r="G49" i="8"/>
  <c r="D49" i="8"/>
  <c r="E42" i="16" l="1"/>
  <c r="M46" i="15"/>
  <c r="E41" i="16"/>
  <c r="D40" i="16" l="1"/>
  <c r="D48" i="3"/>
  <c r="C48" i="3"/>
  <c r="B48" i="3"/>
  <c r="E48" i="8"/>
  <c r="D48" i="8"/>
  <c r="C48" i="8"/>
  <c r="B48" i="8"/>
  <c r="M47" i="15"/>
  <c r="E40" i="16" s="1"/>
  <c r="F47" i="9"/>
  <c r="E47" i="9"/>
  <c r="C47" i="9"/>
  <c r="AT47" i="9"/>
  <c r="AY47" i="9"/>
  <c r="BN47" i="9"/>
  <c r="BD47" i="9"/>
  <c r="BI47" i="9"/>
  <c r="BS47" i="9"/>
  <c r="CC47" i="9"/>
  <c r="BU47" i="9"/>
  <c r="BX47" i="9" s="1"/>
  <c r="AO47" i="9"/>
  <c r="AJ47" i="9"/>
  <c r="AE47" i="9"/>
  <c r="U47" i="9"/>
  <c r="P47" i="9"/>
  <c r="D47" i="9" l="1"/>
  <c r="D39" i="16"/>
  <c r="F46" i="9"/>
  <c r="CC46" i="9"/>
  <c r="E46" i="9"/>
  <c r="D46" i="9"/>
  <c r="C46" i="9"/>
  <c r="BX46" i="9"/>
  <c r="BS46" i="9"/>
  <c r="BN46" i="9"/>
  <c r="BI46" i="9"/>
  <c r="BD46" i="9"/>
  <c r="AY46" i="9"/>
  <c r="AT46" i="9"/>
  <c r="AO46" i="9"/>
  <c r="AJ46" i="9"/>
  <c r="AE46" i="9"/>
  <c r="U46" i="9"/>
  <c r="P46" i="9"/>
  <c r="K46" i="9"/>
  <c r="G45" i="15"/>
  <c r="E39" i="16"/>
  <c r="B47" i="8"/>
  <c r="C47" i="8"/>
  <c r="D47" i="8"/>
  <c r="E47" i="8"/>
  <c r="F47" i="8"/>
  <c r="K45" i="15" l="1"/>
  <c r="J45" i="15"/>
  <c r="I45" i="15"/>
  <c r="H45" i="15"/>
  <c r="CJ45" i="15"/>
  <c r="CE45" i="15"/>
  <c r="BZ45" i="15"/>
  <c r="BU45" i="15"/>
  <c r="BP45" i="15"/>
  <c r="BK45" i="15"/>
  <c r="BB45" i="15"/>
  <c r="BK44" i="15"/>
  <c r="BF45" i="15"/>
  <c r="BA45" i="15"/>
  <c r="AV45" i="15"/>
  <c r="AQ45" i="15"/>
  <c r="AL45" i="15"/>
  <c r="AB45" i="15"/>
  <c r="W45" i="15"/>
  <c r="D47" i="3"/>
  <c r="C47" i="3"/>
  <c r="B47" i="3"/>
  <c r="AD10" i="16" l="1"/>
  <c r="AD11" i="16" l="1"/>
  <c r="A40" i="16"/>
  <c r="D37" i="16"/>
  <c r="D38" i="16"/>
  <c r="AD12" i="16" l="1"/>
  <c r="C46" i="3"/>
  <c r="D46" i="3"/>
  <c r="B46" i="3"/>
  <c r="M46" i="8"/>
  <c r="H46" i="8"/>
  <c r="B46" i="8"/>
  <c r="E46" i="8"/>
  <c r="D46" i="8"/>
  <c r="C46" i="8"/>
  <c r="M45" i="15"/>
  <c r="I44" i="15"/>
  <c r="H44" i="15"/>
  <c r="G44" i="15"/>
  <c r="CJ44" i="15"/>
  <c r="CE44" i="15"/>
  <c r="BZ44" i="15"/>
  <c r="BU44" i="15"/>
  <c r="BP44" i="15"/>
  <c r="BF44" i="15"/>
  <c r="BA44" i="15"/>
  <c r="AL44" i="15"/>
  <c r="AQ44" i="15"/>
  <c r="AB44" i="15"/>
  <c r="R44" i="15"/>
  <c r="C45" i="9"/>
  <c r="D45" i="9"/>
  <c r="F45" i="9"/>
  <c r="CC45" i="9"/>
  <c r="E45" i="9"/>
  <c r="BX45" i="9"/>
  <c r="BS45" i="9"/>
  <c r="BN45" i="9"/>
  <c r="BI45" i="9"/>
  <c r="BD45" i="9"/>
  <c r="AY45" i="9"/>
  <c r="AT45" i="9"/>
  <c r="AO45" i="9"/>
  <c r="AJ45" i="9"/>
  <c r="AE45" i="9"/>
  <c r="U45" i="9"/>
  <c r="P45" i="9"/>
  <c r="K45" i="9"/>
  <c r="AD13" i="16" l="1"/>
  <c r="M44" i="15"/>
  <c r="E58" i="8"/>
  <c r="F44" i="9"/>
  <c r="E44" i="9"/>
  <c r="C44" i="9"/>
  <c r="AB44" i="9"/>
  <c r="AE44" i="9" s="1"/>
  <c r="AY44" i="9"/>
  <c r="AT44" i="9"/>
  <c r="AO44" i="9"/>
  <c r="AJ44" i="9"/>
  <c r="BS44" i="9"/>
  <c r="BN44" i="9"/>
  <c r="BI44" i="9"/>
  <c r="BD44" i="9"/>
  <c r="BX44" i="9"/>
  <c r="CC44" i="9"/>
  <c r="U44" i="9"/>
  <c r="P44" i="9"/>
  <c r="K44" i="9"/>
  <c r="R45" i="8"/>
  <c r="M45" i="8"/>
  <c r="B45" i="8" s="1"/>
  <c r="H45" i="8"/>
  <c r="B45" i="3"/>
  <c r="C45" i="3"/>
  <c r="D45" i="3"/>
  <c r="D43" i="3"/>
  <c r="C45" i="8"/>
  <c r="D45" i="8"/>
  <c r="E45" i="8"/>
  <c r="E37" i="16"/>
  <c r="AL42" i="15"/>
  <c r="AB42" i="15"/>
  <c r="W42" i="15"/>
  <c r="E38" i="16"/>
  <c r="G42" i="15"/>
  <c r="H42" i="15"/>
  <c r="K42" i="15"/>
  <c r="J42" i="15"/>
  <c r="I42" i="15"/>
  <c r="CJ42" i="15"/>
  <c r="CE42" i="15"/>
  <c r="BZ42" i="15"/>
  <c r="BU42" i="15"/>
  <c r="BP42" i="15"/>
  <c r="BK42" i="15"/>
  <c r="BF42" i="15"/>
  <c r="BA42" i="15"/>
  <c r="AV42" i="15"/>
  <c r="AG42" i="15"/>
  <c r="AQ42" i="15"/>
  <c r="AD14" i="16" l="1"/>
  <c r="D44" i="9"/>
  <c r="B44" i="9" s="1"/>
  <c r="F45" i="8"/>
  <c r="E45" i="3"/>
  <c r="A41" i="16" s="1"/>
  <c r="M42" i="15"/>
  <c r="T36" i="8"/>
  <c r="O36" i="8"/>
  <c r="J36" i="8"/>
  <c r="AD15" i="16" l="1"/>
  <c r="C43" i="3"/>
  <c r="B43" i="3"/>
  <c r="E43" i="3" s="1"/>
  <c r="A39" i="16" s="1"/>
  <c r="U43" i="3"/>
  <c r="Q43" i="3"/>
  <c r="M43" i="3"/>
  <c r="I43" i="3"/>
  <c r="D36" i="16"/>
  <c r="AA45" i="8"/>
  <c r="V45" i="8"/>
  <c r="Q45" i="8"/>
  <c r="L45" i="8"/>
  <c r="E36" i="16"/>
  <c r="K41" i="15"/>
  <c r="J41" i="15"/>
  <c r="H41" i="15"/>
  <c r="I41" i="15"/>
  <c r="BB41" i="15"/>
  <c r="BF41" i="15" s="1"/>
  <c r="AW41" i="15"/>
  <c r="BA41" i="15" s="1"/>
  <c r="L41" i="15"/>
  <c r="G41" i="15" s="1"/>
  <c r="CJ41" i="15"/>
  <c r="CB41" i="15"/>
  <c r="CA41" i="15"/>
  <c r="CE41" i="15" s="1"/>
  <c r="BZ41" i="15"/>
  <c r="BU41" i="15"/>
  <c r="BP41" i="15"/>
  <c r="BK41" i="15"/>
  <c r="AQ41" i="15"/>
  <c r="AV41" i="15"/>
  <c r="W41" i="15"/>
  <c r="AB41" i="15"/>
  <c r="AL41" i="15"/>
  <c r="T40" i="15"/>
  <c r="U40" i="15"/>
  <c r="X40" i="15"/>
  <c r="Y40" i="15"/>
  <c r="B43" i="8"/>
  <c r="C43" i="8"/>
  <c r="D43" i="8"/>
  <c r="E43" i="8"/>
  <c r="R43" i="8"/>
  <c r="M43" i="8"/>
  <c r="H43" i="8"/>
  <c r="G43" i="8"/>
  <c r="CC35" i="15"/>
  <c r="CB35" i="15"/>
  <c r="CA35" i="15"/>
  <c r="AD16" i="16" l="1"/>
  <c r="C42" i="9"/>
  <c r="D42" i="9"/>
  <c r="E42" i="9"/>
  <c r="F42" i="9"/>
  <c r="Z42" i="9"/>
  <c r="CC42" i="9"/>
  <c r="BX42" i="9"/>
  <c r="BS42" i="9"/>
  <c r="BN42" i="9"/>
  <c r="BI42" i="9"/>
  <c r="BD42" i="9"/>
  <c r="AY42" i="9"/>
  <c r="AT42" i="9"/>
  <c r="AO42" i="9"/>
  <c r="AJ42" i="9"/>
  <c r="AE42" i="9"/>
  <c r="U42" i="9"/>
  <c r="P42" i="9"/>
  <c r="K42" i="9"/>
  <c r="AD17" i="16" l="1"/>
  <c r="D35" i="16"/>
  <c r="D15" i="16"/>
  <c r="D16" i="16"/>
  <c r="D17" i="16"/>
  <c r="D18" i="16"/>
  <c r="D19" i="16"/>
  <c r="D20" i="16"/>
  <c r="D24" i="16"/>
  <c r="D27" i="16"/>
  <c r="D28" i="16"/>
  <c r="D30" i="16"/>
  <c r="D31" i="16"/>
  <c r="D32" i="16"/>
  <c r="D33" i="16"/>
  <c r="D34" i="16"/>
  <c r="CE35" i="15"/>
  <c r="CA40" i="15"/>
  <c r="CE40" i="15" s="1"/>
  <c r="M41" i="15"/>
  <c r="E35" i="16" s="1"/>
  <c r="J40" i="15"/>
  <c r="I40" i="15"/>
  <c r="H40" i="15"/>
  <c r="G40" i="15"/>
  <c r="CJ40" i="15"/>
  <c r="BZ40" i="15"/>
  <c r="BU40" i="15"/>
  <c r="BP40" i="15"/>
  <c r="BK40" i="15"/>
  <c r="BF40" i="15"/>
  <c r="BA40" i="15"/>
  <c r="AV40" i="15"/>
  <c r="AQ40" i="15"/>
  <c r="AL40" i="15"/>
  <c r="AB40" i="15"/>
  <c r="W40" i="15"/>
  <c r="G42" i="8"/>
  <c r="R42" i="8"/>
  <c r="B42" i="8" s="1"/>
  <c r="M42" i="8"/>
  <c r="H42" i="8"/>
  <c r="E42" i="8"/>
  <c r="C42" i="8"/>
  <c r="D42" i="8"/>
  <c r="P42" i="3"/>
  <c r="L42" i="3"/>
  <c r="H42" i="3"/>
  <c r="D42" i="3" s="1"/>
  <c r="C42" i="3"/>
  <c r="I42" i="3"/>
  <c r="B42" i="3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3" i="17"/>
  <c r="E41" i="9"/>
  <c r="AO41" i="9"/>
  <c r="F41" i="9"/>
  <c r="CC41" i="9"/>
  <c r="D41" i="9"/>
  <c r="C41" i="9"/>
  <c r="BX41" i="9"/>
  <c r="BS41" i="9"/>
  <c r="BN41" i="9"/>
  <c r="BI41" i="9"/>
  <c r="BD41" i="9"/>
  <c r="AY41" i="9"/>
  <c r="AT41" i="9"/>
  <c r="AJ41" i="9"/>
  <c r="AE41" i="9"/>
  <c r="U41" i="9"/>
  <c r="P41" i="9"/>
  <c r="K41" i="9"/>
  <c r="AD18" i="16" l="1"/>
  <c r="W36" i="8"/>
  <c r="R36" i="8"/>
  <c r="W35" i="8"/>
  <c r="R35" i="8"/>
  <c r="W34" i="8"/>
  <c r="R34" i="8"/>
  <c r="W32" i="8"/>
  <c r="R32" i="8"/>
  <c r="R29" i="8"/>
  <c r="W29" i="8"/>
  <c r="W27" i="8"/>
  <c r="R27" i="8"/>
  <c r="W24" i="8"/>
  <c r="R24" i="8"/>
  <c r="W22" i="8"/>
  <c r="R21" i="8"/>
  <c r="R20" i="8"/>
  <c r="W20" i="8"/>
  <c r="W19" i="8"/>
  <c r="R19" i="8"/>
  <c r="R14" i="8"/>
  <c r="W14" i="8"/>
  <c r="AD19" i="16" l="1"/>
  <c r="B41" i="8"/>
  <c r="C41" i="8"/>
  <c r="D41" i="8"/>
  <c r="E41" i="8"/>
  <c r="F40" i="9"/>
  <c r="K40" i="9"/>
  <c r="D40" i="9"/>
  <c r="C40" i="9"/>
  <c r="CC40" i="9"/>
  <c r="BX40" i="9"/>
  <c r="BS40" i="9"/>
  <c r="BN40" i="9"/>
  <c r="BI40" i="9"/>
  <c r="BD40" i="9"/>
  <c r="AY40" i="9"/>
  <c r="AT40" i="9"/>
  <c r="AM40" i="9"/>
  <c r="AO40" i="9" s="1"/>
  <c r="AJ40" i="9"/>
  <c r="AE40" i="9"/>
  <c r="U40" i="9"/>
  <c r="P40" i="9"/>
  <c r="E40" i="8"/>
  <c r="E39" i="8"/>
  <c r="E38" i="8"/>
  <c r="E36" i="8"/>
  <c r="E35" i="8"/>
  <c r="E34" i="8"/>
  <c r="B41" i="3"/>
  <c r="C41" i="3"/>
  <c r="D41" i="3"/>
  <c r="K39" i="15"/>
  <c r="M40" i="15"/>
  <c r="E34" i="16" s="1"/>
  <c r="I39" i="15"/>
  <c r="H39" i="15"/>
  <c r="G39" i="15"/>
  <c r="CJ39" i="15"/>
  <c r="CE39" i="15"/>
  <c r="BZ39" i="15"/>
  <c r="BU39" i="15"/>
  <c r="BP39" i="15"/>
  <c r="BK39" i="15"/>
  <c r="BF39" i="15"/>
  <c r="BA39" i="15"/>
  <c r="AV39" i="15"/>
  <c r="AQ39" i="15"/>
  <c r="AL39" i="15"/>
  <c r="AB39" i="15"/>
  <c r="W39" i="15"/>
  <c r="AD20" i="16" l="1"/>
  <c r="E40" i="9"/>
  <c r="E41" i="3"/>
  <c r="A37" i="16" s="1"/>
  <c r="D6" i="15"/>
  <c r="E6" i="15"/>
  <c r="F6" i="15"/>
  <c r="G6" i="15"/>
  <c r="M6" i="15"/>
  <c r="D7" i="15"/>
  <c r="E7" i="15"/>
  <c r="F7" i="15"/>
  <c r="G7" i="15"/>
  <c r="M7" i="15"/>
  <c r="D9" i="15"/>
  <c r="E9" i="15"/>
  <c r="F9" i="15"/>
  <c r="G9" i="15"/>
  <c r="M9" i="15"/>
  <c r="D10" i="15"/>
  <c r="E10" i="15"/>
  <c r="F10" i="15"/>
  <c r="G10" i="15"/>
  <c r="M10" i="15"/>
  <c r="D11" i="15"/>
  <c r="E11" i="15"/>
  <c r="F11" i="15"/>
  <c r="G11" i="15"/>
  <c r="M11" i="15"/>
  <c r="D12" i="15"/>
  <c r="E12" i="15"/>
  <c r="F12" i="15"/>
  <c r="G12" i="15"/>
  <c r="M12" i="15"/>
  <c r="D13" i="15"/>
  <c r="E13" i="15"/>
  <c r="F13" i="15"/>
  <c r="G13" i="15"/>
  <c r="M13" i="15"/>
  <c r="D14" i="15"/>
  <c r="E14" i="15"/>
  <c r="F14" i="15"/>
  <c r="G14" i="15"/>
  <c r="H14" i="15"/>
  <c r="I14" i="15"/>
  <c r="J14" i="15"/>
  <c r="D15" i="15"/>
  <c r="E15" i="15"/>
  <c r="F15" i="15"/>
  <c r="G15" i="15"/>
  <c r="M15" i="15"/>
  <c r="E16" i="15"/>
  <c r="F16" i="15"/>
  <c r="G16" i="15"/>
  <c r="H16" i="15"/>
  <c r="I16" i="15"/>
  <c r="D16" i="15" s="1"/>
  <c r="J16" i="15"/>
  <c r="G17" i="15"/>
  <c r="H17" i="15"/>
  <c r="I17" i="15"/>
  <c r="D17" i="15" s="1"/>
  <c r="J17" i="15"/>
  <c r="E17" i="15" s="1"/>
  <c r="K17" i="15"/>
  <c r="F17" i="15" s="1"/>
  <c r="R17" i="15"/>
  <c r="G18" i="15"/>
  <c r="H18" i="15"/>
  <c r="I18" i="15"/>
  <c r="D18" i="15" s="1"/>
  <c r="J18" i="15"/>
  <c r="E18" i="15" s="1"/>
  <c r="K18" i="15"/>
  <c r="F18" i="15" s="1"/>
  <c r="R18" i="15"/>
  <c r="G19" i="15"/>
  <c r="H19" i="15"/>
  <c r="I19" i="15"/>
  <c r="D19" i="15" s="1"/>
  <c r="J19" i="15"/>
  <c r="E19" i="15" s="1"/>
  <c r="K19" i="15"/>
  <c r="F19" i="15" s="1"/>
  <c r="R19" i="15"/>
  <c r="G20" i="15"/>
  <c r="H20" i="15"/>
  <c r="C20" i="15" s="1"/>
  <c r="I20" i="15"/>
  <c r="D20" i="15" s="1"/>
  <c r="J20" i="15"/>
  <c r="E20" i="15" s="1"/>
  <c r="K20" i="15"/>
  <c r="F20" i="15" s="1"/>
  <c r="G21" i="15"/>
  <c r="H21" i="15"/>
  <c r="C21" i="15" s="1"/>
  <c r="I21" i="15"/>
  <c r="D21" i="15" s="1"/>
  <c r="J21" i="15"/>
  <c r="E21" i="15" s="1"/>
  <c r="K21" i="15"/>
  <c r="F21" i="15" s="1"/>
  <c r="C22" i="15"/>
  <c r="D22" i="15"/>
  <c r="E22" i="15"/>
  <c r="F22" i="15"/>
  <c r="G22" i="15"/>
  <c r="M22" i="15"/>
  <c r="D23" i="15"/>
  <c r="E23" i="15"/>
  <c r="F23" i="15"/>
  <c r="G23" i="15"/>
  <c r="M23" i="15"/>
  <c r="R23" i="15"/>
  <c r="D24" i="15"/>
  <c r="G24" i="15"/>
  <c r="H24" i="15"/>
  <c r="I24" i="15"/>
  <c r="J24" i="15"/>
  <c r="E24" i="15" s="1"/>
  <c r="K24" i="15"/>
  <c r="F24" i="15" s="1"/>
  <c r="F25" i="15"/>
  <c r="G25" i="15"/>
  <c r="H25" i="15"/>
  <c r="I25" i="15"/>
  <c r="D25" i="15" s="1"/>
  <c r="J25" i="15"/>
  <c r="E25" i="15" s="1"/>
  <c r="R25" i="15"/>
  <c r="G26" i="15"/>
  <c r="H26" i="15"/>
  <c r="I26" i="15"/>
  <c r="D26" i="15" s="1"/>
  <c r="J26" i="15"/>
  <c r="E26" i="15" s="1"/>
  <c r="K26" i="15"/>
  <c r="F26" i="15" s="1"/>
  <c r="F27" i="15"/>
  <c r="G27" i="15"/>
  <c r="H27" i="15"/>
  <c r="I27" i="15"/>
  <c r="D27" i="15" s="1"/>
  <c r="J27" i="15"/>
  <c r="E27" i="15" s="1"/>
  <c r="D28" i="15"/>
  <c r="E28" i="15"/>
  <c r="F28" i="15"/>
  <c r="G28" i="15"/>
  <c r="M28" i="15"/>
  <c r="D30" i="15"/>
  <c r="E30" i="15"/>
  <c r="F30" i="15"/>
  <c r="G30" i="15"/>
  <c r="M30" i="15"/>
  <c r="G31" i="15"/>
  <c r="H31" i="15"/>
  <c r="I31" i="15"/>
  <c r="D31" i="15" s="1"/>
  <c r="J31" i="15"/>
  <c r="E31" i="15" s="1"/>
  <c r="K31" i="15"/>
  <c r="F31" i="15" s="1"/>
  <c r="F39" i="9"/>
  <c r="CC39" i="9"/>
  <c r="E39" i="9"/>
  <c r="D39" i="9"/>
  <c r="C39" i="9"/>
  <c r="BX39" i="9"/>
  <c r="BS39" i="9"/>
  <c r="BN39" i="9"/>
  <c r="BI39" i="9"/>
  <c r="BD39" i="9"/>
  <c r="AY39" i="9"/>
  <c r="AT39" i="9"/>
  <c r="AO39" i="9"/>
  <c r="AJ39" i="9"/>
  <c r="AE39" i="9"/>
  <c r="U39" i="9"/>
  <c r="P39" i="9"/>
  <c r="K39" i="9"/>
  <c r="R40" i="8"/>
  <c r="M40" i="8"/>
  <c r="H40" i="8"/>
  <c r="H38" i="15"/>
  <c r="AD21" i="16" l="1"/>
  <c r="E18" i="16"/>
  <c r="M24" i="15"/>
  <c r="M14" i="15"/>
  <c r="E14" i="16"/>
  <c r="M27" i="15"/>
  <c r="E20" i="16"/>
  <c r="E16" i="16"/>
  <c r="E12" i="16"/>
  <c r="E19" i="16"/>
  <c r="E17" i="16"/>
  <c r="M16" i="15"/>
  <c r="M31" i="15"/>
  <c r="M26" i="15"/>
  <c r="E13" i="16"/>
  <c r="M21" i="15"/>
  <c r="E22" i="16"/>
  <c r="E9" i="16"/>
  <c r="E7" i="16"/>
  <c r="E5" i="16"/>
  <c r="E15" i="16"/>
  <c r="E10" i="16"/>
  <c r="E24" i="16"/>
  <c r="E8" i="16"/>
  <c r="E6" i="16"/>
  <c r="E4" i="16"/>
  <c r="F4" i="16" s="1"/>
  <c r="E23" i="16"/>
  <c r="E11" i="16"/>
  <c r="E25" i="16"/>
  <c r="M19" i="15"/>
  <c r="M17" i="15"/>
  <c r="M25" i="15"/>
  <c r="E21" i="16"/>
  <c r="M20" i="15"/>
  <c r="M18" i="15"/>
  <c r="B40" i="3"/>
  <c r="C40" i="3"/>
  <c r="D40" i="3"/>
  <c r="B40" i="8"/>
  <c r="C40" i="8"/>
  <c r="D40" i="8"/>
  <c r="J39" i="15"/>
  <c r="K38" i="15"/>
  <c r="J38" i="15"/>
  <c r="I38" i="15"/>
  <c r="CJ38" i="15"/>
  <c r="CE38" i="15"/>
  <c r="BZ38" i="15"/>
  <c r="BU38" i="15"/>
  <c r="BP38" i="15"/>
  <c r="BK38" i="15"/>
  <c r="BF38" i="15"/>
  <c r="AV38" i="15"/>
  <c r="BA38" i="15"/>
  <c r="AQ38" i="15"/>
  <c r="AL38" i="15"/>
  <c r="AB38" i="15"/>
  <c r="W38" i="15"/>
  <c r="G38" i="15"/>
  <c r="K37" i="15"/>
  <c r="J37" i="15"/>
  <c r="I37" i="15"/>
  <c r="H37" i="15"/>
  <c r="E40" i="3" l="1"/>
  <c r="A36" i="16" s="1"/>
  <c r="AD22" i="16"/>
  <c r="M38" i="15"/>
  <c r="E33" i="16"/>
  <c r="M39" i="15"/>
  <c r="E32" i="16"/>
  <c r="F5" i="16"/>
  <c r="F6" i="16" s="1"/>
  <c r="F7" i="16" s="1"/>
  <c r="F8" i="16" s="1"/>
  <c r="F9" i="16" s="1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40" i="8"/>
  <c r="B39" i="3"/>
  <c r="C39" i="3"/>
  <c r="D39" i="3"/>
  <c r="R39" i="8"/>
  <c r="H39" i="8"/>
  <c r="B39" i="8" s="1"/>
  <c r="C39" i="8"/>
  <c r="D39" i="8"/>
  <c r="C38" i="9"/>
  <c r="F38" i="9"/>
  <c r="AT38" i="9"/>
  <c r="BD38" i="9"/>
  <c r="CC38" i="9"/>
  <c r="E38" i="9"/>
  <c r="D38" i="9"/>
  <c r="BX38" i="9"/>
  <c r="BS38" i="9"/>
  <c r="BN38" i="9"/>
  <c r="BI38" i="9"/>
  <c r="AY38" i="9"/>
  <c r="AO38" i="9"/>
  <c r="AJ38" i="9"/>
  <c r="AE38" i="9"/>
  <c r="U38" i="9"/>
  <c r="P38" i="9"/>
  <c r="K38" i="9"/>
  <c r="G37" i="15"/>
  <c r="CJ37" i="15"/>
  <c r="CE37" i="15"/>
  <c r="BZ37" i="15"/>
  <c r="BU37" i="15"/>
  <c r="BP37" i="15"/>
  <c r="BK37" i="15"/>
  <c r="BF37" i="15"/>
  <c r="BA37" i="15"/>
  <c r="AV37" i="15"/>
  <c r="AQ37" i="15"/>
  <c r="AL37" i="15"/>
  <c r="AB37" i="15"/>
  <c r="W37" i="15"/>
  <c r="AD23" i="16" l="1"/>
  <c r="M37" i="15"/>
  <c r="D37" i="9"/>
  <c r="E37" i="9"/>
  <c r="AD24" i="16" l="1"/>
  <c r="E59" i="8"/>
  <c r="E60" i="8" s="1"/>
  <c r="E31" i="16"/>
  <c r="CC37" i="9"/>
  <c r="BX37" i="9"/>
  <c r="BS37" i="9"/>
  <c r="BN37" i="9"/>
  <c r="BI37" i="9"/>
  <c r="BC37" i="9"/>
  <c r="F37" i="9" s="1"/>
  <c r="AP37" i="9"/>
  <c r="BD37" i="9"/>
  <c r="AY37" i="9"/>
  <c r="AO37" i="9"/>
  <c r="AJ37" i="9"/>
  <c r="AE37" i="9"/>
  <c r="U37" i="9"/>
  <c r="P37" i="9"/>
  <c r="K37" i="9"/>
  <c r="C35" i="9"/>
  <c r="C32" i="9"/>
  <c r="A33" i="16"/>
  <c r="B38" i="3"/>
  <c r="C38" i="3"/>
  <c r="E38" i="3" s="1"/>
  <c r="A34" i="16" s="1"/>
  <c r="D38" i="3"/>
  <c r="C38" i="8"/>
  <c r="D38" i="8"/>
  <c r="R38" i="8"/>
  <c r="H38" i="8"/>
  <c r="B38" i="8" s="1"/>
  <c r="K36" i="15"/>
  <c r="J36" i="15"/>
  <c r="I36" i="15"/>
  <c r="H36" i="15"/>
  <c r="M36" i="15" s="1"/>
  <c r="CJ35" i="15"/>
  <c r="BZ35" i="15"/>
  <c r="BU35" i="15"/>
  <c r="BP35" i="15"/>
  <c r="BK35" i="15"/>
  <c r="BF35" i="15"/>
  <c r="BA35" i="15"/>
  <c r="AV35" i="15"/>
  <c r="AQ35" i="15"/>
  <c r="AL35" i="15"/>
  <c r="AB35" i="15"/>
  <c r="W35" i="15"/>
  <c r="G36" i="15"/>
  <c r="G38" i="8"/>
  <c r="AD25" i="16" l="1"/>
  <c r="E30" i="16"/>
  <c r="AT37" i="9"/>
  <c r="C37" i="9"/>
  <c r="B37" i="9" s="1"/>
  <c r="F38" i="8"/>
  <c r="F35" i="9"/>
  <c r="E35" i="9"/>
  <c r="D35" i="9"/>
  <c r="K35" i="9"/>
  <c r="P35" i="9"/>
  <c r="AD26" i="16" l="1"/>
  <c r="B35" i="9"/>
  <c r="U35" i="9"/>
  <c r="Z35" i="9"/>
  <c r="AE35" i="9"/>
  <c r="AJ35" i="9"/>
  <c r="AO35" i="9"/>
  <c r="AT35" i="9"/>
  <c r="AY35" i="9"/>
  <c r="BD35" i="9"/>
  <c r="BI35" i="9"/>
  <c r="BN35" i="9"/>
  <c r="BS35" i="9"/>
  <c r="BX35" i="9"/>
  <c r="CC35" i="9"/>
  <c r="AD27" i="16" l="1"/>
  <c r="A32" i="16"/>
  <c r="C36" i="8"/>
  <c r="B36" i="8"/>
  <c r="Q36" i="8"/>
  <c r="AA36" i="8"/>
  <c r="G35" i="15"/>
  <c r="H35" i="15"/>
  <c r="I35" i="15"/>
  <c r="D36" i="8"/>
  <c r="V36" i="8"/>
  <c r="M36" i="8"/>
  <c r="H36" i="8"/>
  <c r="L36" i="8" s="1"/>
  <c r="R35" i="15"/>
  <c r="K34" i="15"/>
  <c r="J34" i="15"/>
  <c r="I34" i="15"/>
  <c r="H34" i="15"/>
  <c r="G34" i="15"/>
  <c r="CJ34" i="15"/>
  <c r="CE34" i="15"/>
  <c r="BZ34" i="15"/>
  <c r="BU34" i="15"/>
  <c r="BP34" i="15"/>
  <c r="BK34" i="15"/>
  <c r="BF34" i="15"/>
  <c r="BA34" i="15"/>
  <c r="AV34" i="15"/>
  <c r="AQ34" i="15"/>
  <c r="AL34" i="15"/>
  <c r="AB34" i="15"/>
  <c r="W34" i="15"/>
  <c r="AD28" i="16" l="1"/>
  <c r="M35" i="15"/>
  <c r="E28" i="16"/>
  <c r="E29" i="16"/>
  <c r="F36" i="8"/>
  <c r="D29" i="16" s="1"/>
  <c r="C23" i="17"/>
  <c r="B23" i="17"/>
  <c r="AD29" i="16" l="1"/>
  <c r="D23" i="17"/>
  <c r="E2" i="17" s="1"/>
  <c r="AB33" i="15"/>
  <c r="M34" i="15"/>
  <c r="C34" i="9"/>
  <c r="D34" i="9"/>
  <c r="E34" i="9"/>
  <c r="F34" i="9"/>
  <c r="CC34" i="9"/>
  <c r="BX34" i="9"/>
  <c r="P34" i="9"/>
  <c r="U34" i="9"/>
  <c r="AE34" i="9"/>
  <c r="AJ34" i="9"/>
  <c r="AO34" i="9"/>
  <c r="AT34" i="9"/>
  <c r="AY34" i="9"/>
  <c r="BD34" i="9"/>
  <c r="BI34" i="9"/>
  <c r="BN34" i="9"/>
  <c r="BS34" i="9"/>
  <c r="K34" i="9"/>
  <c r="M35" i="8"/>
  <c r="B35" i="8" s="1"/>
  <c r="G35" i="8"/>
  <c r="B35" i="3"/>
  <c r="C35" i="3"/>
  <c r="D35" i="3"/>
  <c r="C35" i="8"/>
  <c r="D35" i="8"/>
  <c r="CJ33" i="15"/>
  <c r="CE33" i="15"/>
  <c r="BZ33" i="15"/>
  <c r="BU33" i="15"/>
  <c r="BP33" i="15"/>
  <c r="BK33" i="15"/>
  <c r="BF33" i="15"/>
  <c r="BA33" i="15"/>
  <c r="AQ33" i="15"/>
  <c r="AV33" i="15"/>
  <c r="AL33" i="15"/>
  <c r="W33" i="15"/>
  <c r="J33" i="15"/>
  <c r="I33" i="15"/>
  <c r="H33" i="15"/>
  <c r="M33" i="15" s="1"/>
  <c r="K33" i="9"/>
  <c r="C33" i="9"/>
  <c r="D33" i="9"/>
  <c r="E33" i="9"/>
  <c r="F33" i="9"/>
  <c r="U33" i="9"/>
  <c r="P33" i="9"/>
  <c r="AT33" i="9"/>
  <c r="AO33" i="9"/>
  <c r="AJ33" i="9"/>
  <c r="AE33" i="9"/>
  <c r="CC33" i="9"/>
  <c r="BX33" i="9"/>
  <c r="BS33" i="9"/>
  <c r="BN33" i="9"/>
  <c r="BI33" i="9"/>
  <c r="BD33" i="9"/>
  <c r="AY33" i="9"/>
  <c r="E35" i="3" l="1"/>
  <c r="A31" i="16" s="1"/>
  <c r="AD30" i="16"/>
  <c r="D18" i="2"/>
  <c r="B34" i="9"/>
  <c r="F35" i="8"/>
  <c r="AD31" i="16" l="1"/>
  <c r="D34" i="8"/>
  <c r="D33" i="15"/>
  <c r="G33" i="15"/>
  <c r="D34" i="3"/>
  <c r="B34" i="3"/>
  <c r="E34" i="3" s="1"/>
  <c r="A30" i="16" s="1"/>
  <c r="C34" i="3"/>
  <c r="I34" i="8"/>
  <c r="C34" i="8" s="1"/>
  <c r="H34" i="8"/>
  <c r="B34" i="8" s="1"/>
  <c r="N33" i="15"/>
  <c r="AD32" i="16" l="1"/>
  <c r="R33" i="15"/>
  <c r="F34" i="8"/>
  <c r="K32" i="9"/>
  <c r="E27" i="16" l="1"/>
  <c r="AD33" i="16"/>
  <c r="CI53" i="15"/>
  <c r="CH53" i="15"/>
  <c r="CC53" i="15"/>
  <c r="CD53" i="15"/>
  <c r="BX53" i="15"/>
  <c r="BY53" i="15"/>
  <c r="BS53" i="15"/>
  <c r="BT53" i="15"/>
  <c r="BN53" i="15"/>
  <c r="BO53" i="15"/>
  <c r="BI53" i="15"/>
  <c r="BJ53" i="15"/>
  <c r="BC53" i="15"/>
  <c r="BD53" i="15"/>
  <c r="BE53" i="15"/>
  <c r="BB53" i="15"/>
  <c r="AY53" i="15"/>
  <c r="AZ53" i="15"/>
  <c r="AT53" i="15"/>
  <c r="AU53" i="15"/>
  <c r="AO53" i="15"/>
  <c r="AP53" i="15"/>
  <c r="AJ53" i="15"/>
  <c r="AK53" i="15"/>
  <c r="AE53" i="15"/>
  <c r="AF53" i="15"/>
  <c r="Z53" i="15"/>
  <c r="AA53" i="15"/>
  <c r="U53" i="15"/>
  <c r="V53" i="15"/>
  <c r="R32" i="15"/>
  <c r="W32" i="15"/>
  <c r="G32" i="15"/>
  <c r="AG32" i="15"/>
  <c r="BA32" i="15"/>
  <c r="AV32" i="15"/>
  <c r="AL32" i="15"/>
  <c r="AB32" i="15"/>
  <c r="CJ32" i="15"/>
  <c r="CE32" i="15"/>
  <c r="BZ32" i="15"/>
  <c r="BZ53" i="15" s="1"/>
  <c r="BU32" i="15"/>
  <c r="BP32" i="15"/>
  <c r="BK32" i="15"/>
  <c r="BF32" i="15"/>
  <c r="K32" i="15"/>
  <c r="F32" i="15" s="1"/>
  <c r="J32" i="15"/>
  <c r="E32" i="15" s="1"/>
  <c r="I32" i="15"/>
  <c r="H32" i="15"/>
  <c r="AD34" i="16" l="1"/>
  <c r="BF53" i="15"/>
  <c r="BF4" i="15" s="1"/>
  <c r="B33" i="8"/>
  <c r="C33" i="8"/>
  <c r="D33" i="8"/>
  <c r="CJ53" i="15"/>
  <c r="CJ4" i="15" s="1"/>
  <c r="CE53" i="15"/>
  <c r="CE4" i="15" s="1"/>
  <c r="BZ4" i="15"/>
  <c r="BU53" i="15"/>
  <c r="BU4" i="15" s="1"/>
  <c r="BP53" i="15"/>
  <c r="BP4" i="15" s="1"/>
  <c r="BK53" i="15"/>
  <c r="BK4" i="15" s="1"/>
  <c r="BA53" i="15"/>
  <c r="BA4" i="15" s="1"/>
  <c r="AV53" i="15"/>
  <c r="AV4" i="15" s="1"/>
  <c r="AQ53" i="15"/>
  <c r="AQ4" i="15" s="1"/>
  <c r="AL53" i="15"/>
  <c r="AL4" i="15" s="1"/>
  <c r="AB53" i="15"/>
  <c r="AB4" i="15" s="1"/>
  <c r="W53" i="15"/>
  <c r="W4" i="15" s="1"/>
  <c r="M32" i="15"/>
  <c r="P32" i="9"/>
  <c r="U32" i="9"/>
  <c r="D32" i="9"/>
  <c r="E32" i="9"/>
  <c r="F32" i="9"/>
  <c r="O50" i="9"/>
  <c r="T50" i="9"/>
  <c r="Y50" i="9"/>
  <c r="AD50" i="9"/>
  <c r="AI50" i="9"/>
  <c r="AM50" i="9"/>
  <c r="AN50" i="9"/>
  <c r="AR50" i="9"/>
  <c r="AS50" i="9"/>
  <c r="AW50" i="9"/>
  <c r="AX50" i="9"/>
  <c r="BB50" i="9"/>
  <c r="BC50" i="9"/>
  <c r="BG50" i="9"/>
  <c r="BH50" i="9"/>
  <c r="BL50" i="9"/>
  <c r="BM50" i="9"/>
  <c r="BQ50" i="9"/>
  <c r="BR50" i="9"/>
  <c r="BV50" i="9"/>
  <c r="BW50" i="9"/>
  <c r="BZ50" i="9"/>
  <c r="CA50" i="9"/>
  <c r="CB50" i="9"/>
  <c r="AY32" i="9"/>
  <c r="BD32" i="9"/>
  <c r="AO32" i="9"/>
  <c r="AT32" i="9"/>
  <c r="AJ32" i="9"/>
  <c r="AE32" i="9"/>
  <c r="BI32" i="9"/>
  <c r="BN32" i="9"/>
  <c r="BS32" i="9"/>
  <c r="BX32" i="9"/>
  <c r="CC32" i="9"/>
  <c r="AV50" i="9"/>
  <c r="AU50" i="9"/>
  <c r="B33" i="3"/>
  <c r="C33" i="3"/>
  <c r="D33" i="3"/>
  <c r="E33" i="3"/>
  <c r="A29" i="16" s="1"/>
  <c r="E26" i="16" l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39" i="16" s="1"/>
  <c r="F40" i="16" s="1"/>
  <c r="F41" i="16" s="1"/>
  <c r="F42" i="16" s="1"/>
  <c r="F43" i="16" s="1"/>
  <c r="F44" i="16" s="1"/>
  <c r="F45" i="16" s="1"/>
  <c r="B53" i="15"/>
  <c r="AD35" i="16"/>
  <c r="B32" i="9"/>
  <c r="AY50" i="9"/>
  <c r="AY4" i="9" s="1"/>
  <c r="G33" i="8"/>
  <c r="AD36" i="16" l="1"/>
  <c r="G32" i="8"/>
  <c r="AD37" i="16" l="1"/>
  <c r="A26" i="16"/>
  <c r="A27" i="16"/>
  <c r="AD38" i="16" l="1"/>
  <c r="F31" i="9"/>
  <c r="D31" i="9"/>
  <c r="C31" i="9"/>
  <c r="K31" i="9"/>
  <c r="B32" i="8"/>
  <c r="C32" i="8"/>
  <c r="D32" i="8"/>
  <c r="B32" i="3"/>
  <c r="C32" i="3"/>
  <c r="P32" i="3"/>
  <c r="P53" i="3" s="1"/>
  <c r="L32" i="3"/>
  <c r="L53" i="3" s="1"/>
  <c r="H32" i="3"/>
  <c r="H53" i="3" s="1"/>
  <c r="D32" i="3" l="1"/>
  <c r="E32" i="3"/>
  <c r="A28" i="16" s="1"/>
  <c r="AD39" i="16"/>
  <c r="B31" i="9"/>
  <c r="F32" i="8"/>
  <c r="D25" i="16" s="1"/>
  <c r="Q29" i="8"/>
  <c r="L29" i="8"/>
  <c r="V29" i="8"/>
  <c r="AA29" i="8"/>
  <c r="AD40" i="16" l="1"/>
  <c r="B29" i="8"/>
  <c r="C29" i="8"/>
  <c r="D29" i="8"/>
  <c r="A25" i="16"/>
  <c r="F28" i="9"/>
  <c r="K28" i="9"/>
  <c r="E28" i="9"/>
  <c r="D28" i="9"/>
  <c r="C28" i="9"/>
  <c r="AD41" i="16" l="1"/>
  <c r="F29" i="8"/>
  <c r="D23" i="16" s="1"/>
  <c r="B28" i="9"/>
  <c r="H28" i="8"/>
  <c r="B28" i="8" s="1"/>
  <c r="C28" i="8"/>
  <c r="D28" i="8"/>
  <c r="B28" i="3"/>
  <c r="C28" i="3"/>
  <c r="E28" i="3" s="1"/>
  <c r="A24" i="16" s="1"/>
  <c r="D28" i="3"/>
  <c r="AD42" i="16" l="1"/>
  <c r="F28" i="8"/>
  <c r="D22" i="16" s="1"/>
  <c r="C26" i="9"/>
  <c r="C27" i="9"/>
  <c r="F27" i="9"/>
  <c r="K27" i="9"/>
  <c r="E27" i="9"/>
  <c r="D27" i="9"/>
  <c r="AD43" i="16" l="1"/>
  <c r="C27" i="3"/>
  <c r="B27" i="3"/>
  <c r="D27" i="3"/>
  <c r="G27" i="8"/>
  <c r="D27" i="8"/>
  <c r="I27" i="8"/>
  <c r="C27" i="8" s="1"/>
  <c r="M27" i="8"/>
  <c r="H27" i="8"/>
  <c r="B27" i="8" s="1"/>
  <c r="AD44" i="16" l="1"/>
  <c r="D26" i="9"/>
  <c r="E26" i="9"/>
  <c r="F26" i="9"/>
  <c r="K26" i="9"/>
  <c r="AD45" i="16" l="1"/>
  <c r="B26" i="9"/>
  <c r="D26" i="8"/>
  <c r="R26" i="8"/>
  <c r="M26" i="8"/>
  <c r="H26" i="8"/>
  <c r="B26" i="8" s="1"/>
  <c r="G26" i="8"/>
  <c r="C26" i="8"/>
  <c r="C26" i="3"/>
  <c r="B26" i="3"/>
  <c r="D26" i="3"/>
  <c r="D25" i="9"/>
  <c r="E25" i="9"/>
  <c r="F25" i="9"/>
  <c r="K25" i="9"/>
  <c r="AD46" i="16" l="1"/>
  <c r="AE45" i="16"/>
  <c r="C24" i="9"/>
  <c r="D24" i="9"/>
  <c r="F24" i="9"/>
  <c r="K24" i="9"/>
  <c r="AE46" i="16" l="1"/>
  <c r="AE10" i="16"/>
  <c r="AE11" i="16"/>
  <c r="AE12" i="16"/>
  <c r="AE13" i="16"/>
  <c r="AE14" i="16"/>
  <c r="AE15" i="16"/>
  <c r="AE16" i="16"/>
  <c r="AE17" i="16"/>
  <c r="AE18" i="16"/>
  <c r="AE19" i="16"/>
  <c r="AE20" i="16"/>
  <c r="AE21" i="16"/>
  <c r="AE22" i="16"/>
  <c r="AE23" i="16"/>
  <c r="AE24" i="16"/>
  <c r="AE25" i="16"/>
  <c r="AE26" i="16"/>
  <c r="AE27" i="16"/>
  <c r="AE28" i="16"/>
  <c r="AE29" i="16"/>
  <c r="AE30" i="16"/>
  <c r="AE31" i="16"/>
  <c r="AE32" i="16"/>
  <c r="AE33" i="16"/>
  <c r="AE34" i="16"/>
  <c r="AE35" i="16"/>
  <c r="AE36" i="16"/>
  <c r="AE37" i="16"/>
  <c r="AE38" i="16"/>
  <c r="AE39" i="16"/>
  <c r="AE40" i="16"/>
  <c r="AE41" i="16"/>
  <c r="AE42" i="16"/>
  <c r="AE43" i="16"/>
  <c r="AE44" i="16"/>
  <c r="H25" i="8"/>
  <c r="B25" i="8" s="1"/>
  <c r="C25" i="8"/>
  <c r="D25" i="8"/>
  <c r="E25" i="8"/>
  <c r="D25" i="3"/>
  <c r="C25" i="3"/>
  <c r="B25" i="3"/>
  <c r="G24" i="8" l="1"/>
  <c r="A19" i="16"/>
  <c r="I24" i="8" l="1"/>
  <c r="C24" i="8" s="1"/>
  <c r="M24" i="8"/>
  <c r="H24" i="8"/>
  <c r="B24" i="8" s="1"/>
  <c r="D24" i="8"/>
  <c r="E24" i="8"/>
  <c r="B24" i="3"/>
  <c r="C24" i="3"/>
  <c r="D24" i="3"/>
  <c r="I24" i="3"/>
  <c r="M24" i="3"/>
  <c r="Q24" i="3"/>
  <c r="U24" i="3"/>
  <c r="D23" i="9"/>
  <c r="E23" i="9"/>
  <c r="F23" i="9"/>
  <c r="C23" i="9"/>
  <c r="K23" i="9"/>
  <c r="E24" i="3" l="1"/>
  <c r="A20" i="16" s="1"/>
  <c r="B23" i="9"/>
  <c r="F24" i="8"/>
  <c r="B22" i="8"/>
  <c r="C22" i="8"/>
  <c r="D22" i="8"/>
  <c r="E22" i="8"/>
  <c r="L22" i="8"/>
  <c r="Q22" i="8"/>
  <c r="V22" i="8"/>
  <c r="AA22" i="8"/>
  <c r="U22" i="3"/>
  <c r="Q22" i="3"/>
  <c r="M22" i="3"/>
  <c r="I22" i="3"/>
  <c r="B22" i="3"/>
  <c r="C22" i="3"/>
  <c r="D22" i="3"/>
  <c r="E22" i="3" l="1"/>
  <c r="A18" i="16" s="1"/>
  <c r="Q53" i="15"/>
  <c r="P53" i="15"/>
  <c r="O53" i="15"/>
  <c r="N53" i="15"/>
  <c r="R54" i="15" l="1"/>
  <c r="G21" i="8"/>
  <c r="H21" i="8"/>
  <c r="M21" i="8"/>
  <c r="I7" i="3"/>
  <c r="B21" i="3" l="1"/>
  <c r="C21" i="3"/>
  <c r="D21" i="3"/>
  <c r="B6" i="16"/>
  <c r="B7" i="16" s="1"/>
  <c r="B8" i="16" s="1"/>
  <c r="B9" i="16" s="1"/>
  <c r="B10" i="16" s="1"/>
  <c r="B11" i="16" s="1"/>
  <c r="B12" i="16" s="1"/>
  <c r="B13" i="16" s="1"/>
  <c r="B14" i="16" s="1"/>
  <c r="C20" i="9"/>
  <c r="D20" i="9"/>
  <c r="E20" i="9"/>
  <c r="F20" i="9"/>
  <c r="K20" i="9"/>
  <c r="E21" i="3" l="1"/>
  <c r="A17" i="16" s="1"/>
  <c r="M20" i="8"/>
  <c r="H20" i="8"/>
  <c r="C19" i="9"/>
  <c r="D19" i="9"/>
  <c r="E19" i="9"/>
  <c r="F19" i="9"/>
  <c r="K19" i="9"/>
  <c r="B21" i="8"/>
  <c r="C21" i="8"/>
  <c r="D21" i="8"/>
  <c r="E21" i="8"/>
  <c r="B20" i="3"/>
  <c r="C20" i="3"/>
  <c r="D20" i="3"/>
  <c r="F21" i="8" l="1"/>
  <c r="E20" i="3"/>
  <c r="A16" i="16" s="1"/>
  <c r="M19" i="8"/>
  <c r="H19" i="8"/>
  <c r="G19" i="8"/>
  <c r="S19" i="8" l="1"/>
  <c r="N19" i="8"/>
  <c r="I19" i="8"/>
  <c r="F18" i="9"/>
  <c r="E18" i="9"/>
  <c r="D18" i="9"/>
  <c r="C18" i="9"/>
  <c r="K18" i="9"/>
  <c r="F53" i="15"/>
  <c r="D11" i="2" s="1"/>
  <c r="N19" i="3"/>
  <c r="B19" i="3" s="1"/>
  <c r="C19" i="3"/>
  <c r="D19" i="3"/>
  <c r="R19" i="3"/>
  <c r="J19" i="3"/>
  <c r="F19" i="3"/>
  <c r="J18" i="3"/>
  <c r="E19" i="3" l="1"/>
  <c r="A15" i="16" s="1"/>
  <c r="B15" i="16" s="1"/>
  <c r="B16" i="16" s="1"/>
  <c r="B17" i="16" s="1"/>
  <c r="B18" i="16" s="1"/>
  <c r="B19" i="16" s="1"/>
  <c r="B20" i="16" s="1"/>
  <c r="R18" i="3"/>
  <c r="N18" i="3"/>
  <c r="F18" i="3"/>
  <c r="D18" i="3" l="1"/>
  <c r="C18" i="3"/>
  <c r="B18" i="3"/>
  <c r="M18" i="8"/>
  <c r="B18" i="8" s="1"/>
  <c r="G17" i="8"/>
  <c r="K17" i="9"/>
  <c r="F16" i="9"/>
  <c r="E16" i="9"/>
  <c r="D16" i="9"/>
  <c r="C16" i="9"/>
  <c r="K16" i="9"/>
  <c r="C18" i="8"/>
  <c r="D18" i="8"/>
  <c r="E18" i="8"/>
  <c r="L18" i="8"/>
  <c r="R17" i="8"/>
  <c r="M17" i="8"/>
  <c r="H17" i="8"/>
  <c r="W17" i="8"/>
  <c r="C17" i="8"/>
  <c r="D17" i="8"/>
  <c r="E17" i="8"/>
  <c r="B19" i="8"/>
  <c r="C19" i="8"/>
  <c r="D19" i="8"/>
  <c r="E19" i="8"/>
  <c r="B20" i="8"/>
  <c r="C20" i="8"/>
  <c r="D20" i="8"/>
  <c r="E20" i="8"/>
  <c r="C17" i="3"/>
  <c r="D17" i="3"/>
  <c r="B17" i="8" l="1"/>
  <c r="F18" i="8"/>
  <c r="R53" i="15"/>
  <c r="R4" i="15" s="1"/>
  <c r="F17" i="8"/>
  <c r="R17" i="3"/>
  <c r="N17" i="3"/>
  <c r="J17" i="3"/>
  <c r="F17" i="3"/>
  <c r="B17" i="3" s="1"/>
  <c r="C14" i="3" l="1"/>
  <c r="D14" i="3"/>
  <c r="F14" i="3"/>
  <c r="I14" i="3" s="1"/>
  <c r="J14" i="3"/>
  <c r="N14" i="3"/>
  <c r="R14" i="3"/>
  <c r="U14" i="3" s="1"/>
  <c r="M14" i="3"/>
  <c r="H15" i="8"/>
  <c r="L15" i="8" s="1"/>
  <c r="C15" i="8"/>
  <c r="D15" i="8"/>
  <c r="E15" i="8"/>
  <c r="Q15" i="8"/>
  <c r="V15" i="8"/>
  <c r="AA15" i="8"/>
  <c r="C14" i="8"/>
  <c r="D14" i="8"/>
  <c r="E14" i="8"/>
  <c r="I57" i="8"/>
  <c r="K57" i="8"/>
  <c r="N57" i="8"/>
  <c r="P57" i="8"/>
  <c r="S57" i="8"/>
  <c r="U57" i="8"/>
  <c r="W57" i="8"/>
  <c r="X57" i="8"/>
  <c r="Y57" i="8"/>
  <c r="Z57" i="8"/>
  <c r="C13" i="9"/>
  <c r="D13" i="9"/>
  <c r="E13" i="9"/>
  <c r="F13" i="9"/>
  <c r="K13" i="9"/>
  <c r="B14" i="8"/>
  <c r="B57" i="8" s="1"/>
  <c r="B14" i="3" l="1"/>
  <c r="B13" i="9"/>
  <c r="B15" i="8"/>
  <c r="H53" i="15"/>
  <c r="I53" i="15"/>
  <c r="D53" i="15"/>
  <c r="D9" i="2" s="1"/>
  <c r="J53" i="15"/>
  <c r="E53" i="15"/>
  <c r="D10" i="2" s="1"/>
  <c r="F15" i="8"/>
  <c r="H13" i="8"/>
  <c r="B13" i="3"/>
  <c r="C13" i="3"/>
  <c r="D13" i="3"/>
  <c r="T13" i="8"/>
  <c r="T57" i="8" s="1"/>
  <c r="O13" i="8"/>
  <c r="O57" i="8" s="1"/>
  <c r="J13" i="8"/>
  <c r="J57" i="8" s="1"/>
  <c r="L53" i="15"/>
  <c r="C12" i="9"/>
  <c r="D12" i="9"/>
  <c r="E12" i="9"/>
  <c r="F12" i="9"/>
  <c r="K12" i="9"/>
  <c r="C53" i="15" l="1"/>
  <c r="B54" i="15" s="1"/>
  <c r="F46" i="16" s="1"/>
  <c r="C12" i="3"/>
  <c r="D12" i="3"/>
  <c r="R12" i="3"/>
  <c r="N12" i="3"/>
  <c r="F12" i="3"/>
  <c r="B12" i="3" s="1"/>
  <c r="K11" i="9"/>
  <c r="C11" i="9"/>
  <c r="D11" i="9"/>
  <c r="E11" i="9"/>
  <c r="F11" i="9"/>
  <c r="D8" i="2" l="1"/>
  <c r="E56" i="15"/>
  <c r="M53" i="15"/>
  <c r="M4" i="15" s="1"/>
  <c r="D11" i="3"/>
  <c r="C11" i="3"/>
  <c r="N11" i="3"/>
  <c r="J11" i="3"/>
  <c r="F11" i="3"/>
  <c r="C10" i="9"/>
  <c r="D10" i="9"/>
  <c r="E10" i="9"/>
  <c r="F10" i="9"/>
  <c r="K10" i="9"/>
  <c r="J11" i="2" l="1"/>
  <c r="B11" i="3"/>
  <c r="B10" i="3"/>
  <c r="C10" i="3"/>
  <c r="D10" i="3"/>
  <c r="R10" i="8"/>
  <c r="R57" i="8" s="1"/>
  <c r="M10" i="8"/>
  <c r="M57" i="8" s="1"/>
  <c r="H10" i="8"/>
  <c r="H57" i="8" s="1"/>
  <c r="C10" i="8"/>
  <c r="D10" i="8"/>
  <c r="E10" i="8"/>
  <c r="B11" i="8"/>
  <c r="C11" i="8"/>
  <c r="D11" i="8"/>
  <c r="E11" i="8"/>
  <c r="B12" i="8"/>
  <c r="C12" i="8"/>
  <c r="D12" i="8"/>
  <c r="E12" i="8"/>
  <c r="B13" i="8"/>
  <c r="C13" i="8"/>
  <c r="D13" i="8"/>
  <c r="E13" i="8"/>
  <c r="G10" i="8"/>
  <c r="G57" i="8" s="1"/>
  <c r="J50" i="9"/>
  <c r="B8" i="8"/>
  <c r="F9" i="9"/>
  <c r="F50" i="9" s="1"/>
  <c r="E9" i="9"/>
  <c r="E50" i="9" s="1"/>
  <c r="D9" i="9"/>
  <c r="D50" i="9" s="1"/>
  <c r="C9" i="9"/>
  <c r="K9" i="9"/>
  <c r="N8" i="3"/>
  <c r="N53" i="3" s="1"/>
  <c r="R8" i="3"/>
  <c r="R53" i="3" s="1"/>
  <c r="J8" i="3"/>
  <c r="J53" i="3" s="1"/>
  <c r="F8" i="3"/>
  <c r="F53" i="3" s="1"/>
  <c r="F12" i="8" l="1"/>
  <c r="B10" i="8"/>
  <c r="U8" i="3"/>
  <c r="O8" i="3"/>
  <c r="O53" i="3" s="1"/>
  <c r="G8" i="3"/>
  <c r="G53" i="3" s="1"/>
  <c r="K8" i="3"/>
  <c r="K53" i="3" s="1"/>
  <c r="C8" i="3"/>
  <c r="D8" i="3"/>
  <c r="C7" i="3"/>
  <c r="D7" i="3"/>
  <c r="B7" i="3"/>
  <c r="I50" i="9"/>
  <c r="E11" i="2"/>
  <c r="BY50" i="9"/>
  <c r="CC50" i="9" s="1"/>
  <c r="CC4" i="9" s="1"/>
  <c r="B7" i="9"/>
  <c r="K53" i="15"/>
  <c r="C8" i="8"/>
  <c r="D8" i="8"/>
  <c r="E8" i="8"/>
  <c r="C7" i="8"/>
  <c r="D7" i="8"/>
  <c r="E7" i="8"/>
  <c r="B7" i="8"/>
  <c r="Q8" i="8"/>
  <c r="Q9" i="8"/>
  <c r="AA8" i="8"/>
  <c r="AA9" i="8"/>
  <c r="V8" i="8"/>
  <c r="V7" i="8"/>
  <c r="AA7" i="8"/>
  <c r="Q7" i="8"/>
  <c r="L8" i="8"/>
  <c r="L9" i="8"/>
  <c r="L7" i="8"/>
  <c r="E57" i="8" l="1"/>
  <c r="D57" i="8"/>
  <c r="C57" i="8"/>
  <c r="F7" i="8"/>
  <c r="M8" i="3"/>
  <c r="B8" i="3"/>
  <c r="Q8" i="3"/>
  <c r="I8" i="3"/>
  <c r="F8" i="8"/>
  <c r="U50" i="3"/>
  <c r="U49" i="3"/>
  <c r="U48" i="3"/>
  <c r="U47" i="3"/>
  <c r="U46" i="3"/>
  <c r="U45" i="3"/>
  <c r="U42" i="3"/>
  <c r="U41" i="3"/>
  <c r="U40" i="3"/>
  <c r="U39" i="3"/>
  <c r="U38" i="3"/>
  <c r="U35" i="3"/>
  <c r="U34" i="3"/>
  <c r="U33" i="3"/>
  <c r="U32" i="3"/>
  <c r="U28" i="3"/>
  <c r="U27" i="3"/>
  <c r="U26" i="3"/>
  <c r="U25" i="3"/>
  <c r="U21" i="3"/>
  <c r="U20" i="3"/>
  <c r="U19" i="3"/>
  <c r="U18" i="3"/>
  <c r="U17" i="3"/>
  <c r="U13" i="3"/>
  <c r="U12" i="3"/>
  <c r="U11" i="3"/>
  <c r="U10" i="3"/>
  <c r="U7" i="3"/>
  <c r="Q7" i="3"/>
  <c r="Q10" i="3"/>
  <c r="Q11" i="3"/>
  <c r="Q12" i="3"/>
  <c r="Q13" i="3"/>
  <c r="Q14" i="3"/>
  <c r="E14" i="3" s="1"/>
  <c r="Q17" i="3"/>
  <c r="Q18" i="3"/>
  <c r="Q19" i="3"/>
  <c r="Q20" i="3"/>
  <c r="Q21" i="3"/>
  <c r="Q25" i="3"/>
  <c r="Q26" i="3"/>
  <c r="Q27" i="3"/>
  <c r="Q28" i="3"/>
  <c r="Q32" i="3"/>
  <c r="Q33" i="3"/>
  <c r="Q34" i="3"/>
  <c r="Q35" i="3"/>
  <c r="U53" i="3" l="1"/>
  <c r="B11" i="2" s="1"/>
  <c r="E8" i="3"/>
  <c r="CG53" i="15" l="1"/>
  <c r="CF53" i="15"/>
  <c r="CB53" i="15"/>
  <c r="CA53" i="15"/>
  <c r="BW53" i="15"/>
  <c r="BV53" i="15"/>
  <c r="BR53" i="15"/>
  <c r="BQ53" i="15"/>
  <c r="BM53" i="15"/>
  <c r="BL53" i="15"/>
  <c r="BH53" i="15"/>
  <c r="BG53" i="15"/>
  <c r="AX53" i="15"/>
  <c r="AW53" i="15"/>
  <c r="AS53" i="15"/>
  <c r="AR53" i="15"/>
  <c r="AN53" i="15"/>
  <c r="AM53" i="15"/>
  <c r="AI53" i="15"/>
  <c r="AH53" i="15"/>
  <c r="AD53" i="15"/>
  <c r="AC53" i="15"/>
  <c r="Y53" i="15"/>
  <c r="X53" i="15"/>
  <c r="T53" i="15"/>
  <c r="S53" i="15"/>
  <c r="W54" i="15" s="1"/>
  <c r="B6" i="9"/>
  <c r="AZ50" i="9"/>
  <c r="BA50" i="9"/>
  <c r="BE50" i="9"/>
  <c r="BF50" i="9"/>
  <c r="BJ50" i="9"/>
  <c r="BK50" i="9"/>
  <c r="BO50" i="9"/>
  <c r="BP50" i="9"/>
  <c r="BT50" i="9"/>
  <c r="BU50" i="9"/>
  <c r="G50" i="9"/>
  <c r="H50" i="9"/>
  <c r="K50" i="9"/>
  <c r="K4" i="9" s="1"/>
  <c r="L50" i="9"/>
  <c r="M50" i="9"/>
  <c r="N50" i="9"/>
  <c r="Q50" i="9"/>
  <c r="R50" i="9"/>
  <c r="S50" i="9"/>
  <c r="V50" i="9"/>
  <c r="W50" i="9"/>
  <c r="X50" i="9"/>
  <c r="AA50" i="9"/>
  <c r="AB50" i="9"/>
  <c r="AC50" i="9"/>
  <c r="AF50" i="9"/>
  <c r="AG50" i="9"/>
  <c r="AH50" i="9"/>
  <c r="AK50" i="9"/>
  <c r="AL50" i="9"/>
  <c r="AP50" i="9"/>
  <c r="AQ50" i="9"/>
  <c r="AA24" i="8"/>
  <c r="V24" i="8"/>
  <c r="Q24" i="8"/>
  <c r="L24" i="8"/>
  <c r="AA38" i="8"/>
  <c r="AA39" i="8"/>
  <c r="AA40" i="8"/>
  <c r="AA41" i="8"/>
  <c r="AA42" i="8"/>
  <c r="AA43" i="8"/>
  <c r="AA46" i="8"/>
  <c r="AA47" i="8"/>
  <c r="AA48" i="8"/>
  <c r="AA49" i="8"/>
  <c r="AA50" i="8"/>
  <c r="AA52" i="8"/>
  <c r="AA53" i="8"/>
  <c r="AA54" i="8"/>
  <c r="AA56" i="8"/>
  <c r="V38" i="8"/>
  <c r="V39" i="8"/>
  <c r="V40" i="8"/>
  <c r="V41" i="8"/>
  <c r="V42" i="8"/>
  <c r="V43" i="8"/>
  <c r="V46" i="8"/>
  <c r="V47" i="8"/>
  <c r="V48" i="8"/>
  <c r="V49" i="8"/>
  <c r="V50" i="8"/>
  <c r="V52" i="8"/>
  <c r="V53" i="8"/>
  <c r="V54" i="8"/>
  <c r="V56" i="8"/>
  <c r="L53" i="8"/>
  <c r="L54" i="8"/>
  <c r="L56" i="8"/>
  <c r="Q53" i="8"/>
  <c r="Q54" i="8"/>
  <c r="Q56" i="8"/>
  <c r="F54" i="8"/>
  <c r="AG54" i="15" l="1"/>
  <c r="BA54" i="15"/>
  <c r="AV54" i="15"/>
  <c r="AL54" i="15"/>
  <c r="AB54" i="15"/>
  <c r="AQ54" i="15"/>
  <c r="Z50" i="9"/>
  <c r="Z4" i="9" s="1"/>
  <c r="BX50" i="9"/>
  <c r="BX4" i="9" s="1"/>
  <c r="BS50" i="9"/>
  <c r="BS4" i="9" s="1"/>
  <c r="BN50" i="9"/>
  <c r="BN4" i="9" s="1"/>
  <c r="BI50" i="9"/>
  <c r="BI4" i="9" s="1"/>
  <c r="BD4" i="9"/>
  <c r="AT50" i="9"/>
  <c r="AT4" i="9" s="1"/>
  <c r="AO50" i="9"/>
  <c r="AO4" i="9" s="1"/>
  <c r="AJ50" i="9"/>
  <c r="AJ4" i="9" s="1"/>
  <c r="AE50" i="9"/>
  <c r="AE4" i="9" s="1"/>
  <c r="U50" i="9"/>
  <c r="U4" i="9" s="1"/>
  <c r="P50" i="9"/>
  <c r="P4" i="9" s="1"/>
  <c r="B5" i="15"/>
  <c r="AA35" i="8"/>
  <c r="AA34" i="8"/>
  <c r="AA33" i="8"/>
  <c r="AA32" i="8"/>
  <c r="AA31" i="8"/>
  <c r="AA28" i="8"/>
  <c r="AA27" i="8"/>
  <c r="AA26" i="8"/>
  <c r="AA25" i="8"/>
  <c r="AA21" i="8"/>
  <c r="AA20" i="8"/>
  <c r="AA19" i="8"/>
  <c r="AA18" i="8"/>
  <c r="AA17" i="8"/>
  <c r="AA14" i="8"/>
  <c r="AA13" i="8"/>
  <c r="AA12" i="8"/>
  <c r="AA11" i="8"/>
  <c r="AA10" i="8"/>
  <c r="V17" i="8"/>
  <c r="V18" i="8"/>
  <c r="V19" i="8"/>
  <c r="V20" i="8"/>
  <c r="V21" i="8"/>
  <c r="V25" i="8"/>
  <c r="V26" i="8"/>
  <c r="V27" i="8"/>
  <c r="V28" i="8"/>
  <c r="V31" i="8"/>
  <c r="V32" i="8"/>
  <c r="V33" i="8"/>
  <c r="V34" i="8"/>
  <c r="V35" i="8"/>
  <c r="AA57" i="8" l="1"/>
  <c r="F56" i="8"/>
  <c r="D47" i="16" s="1"/>
  <c r="F47" i="16" s="1"/>
  <c r="C11" i="2" l="1"/>
  <c r="F11" i="2" s="1"/>
  <c r="G11" i="2" s="1"/>
  <c r="AA5" i="8"/>
  <c r="D12" i="2"/>
  <c r="C62" i="8"/>
  <c r="L26" i="8" l="1"/>
  <c r="L27" i="8"/>
  <c r="L28" i="8"/>
  <c r="L25" i="8"/>
  <c r="L19" i="8"/>
  <c r="L20" i="8"/>
  <c r="L21" i="8"/>
  <c r="L17" i="8"/>
  <c r="L12" i="8"/>
  <c r="L13" i="8"/>
  <c r="L14" i="8"/>
  <c r="L11" i="8"/>
  <c r="V12" i="8"/>
  <c r="V13" i="8"/>
  <c r="V14" i="8"/>
  <c r="F13" i="8"/>
  <c r="F14" i="8"/>
  <c r="F19" i="8"/>
  <c r="F20" i="8"/>
  <c r="F22" i="8"/>
  <c r="F25" i="8"/>
  <c r="F26" i="8"/>
  <c r="F27" i="8"/>
  <c r="D21" i="16" s="1"/>
  <c r="Q11" i="8" l="1"/>
  <c r="V11" i="8"/>
  <c r="F11" i="8" l="1"/>
  <c r="M7" i="3"/>
  <c r="Q52" i="8"/>
  <c r="Q46" i="8"/>
  <c r="Q47" i="8"/>
  <c r="Q48" i="8"/>
  <c r="Q49" i="8"/>
  <c r="Q50" i="8"/>
  <c r="Q43" i="8"/>
  <c r="Q39" i="8"/>
  <c r="Q40" i="8"/>
  <c r="Q41" i="8"/>
  <c r="Q42" i="8"/>
  <c r="Q38" i="8"/>
  <c r="Q32" i="8"/>
  <c r="Q33" i="8"/>
  <c r="Q34" i="8"/>
  <c r="Q35" i="8"/>
  <c r="Q31" i="8"/>
  <c r="Q26" i="8"/>
  <c r="Q27" i="8"/>
  <c r="Q28" i="8"/>
  <c r="Q25" i="8"/>
  <c r="Q18" i="8"/>
  <c r="Q19" i="8"/>
  <c r="Q20" i="8"/>
  <c r="Q21" i="8"/>
  <c r="Q17" i="8"/>
  <c r="V10" i="8"/>
  <c r="V57" i="8" s="1"/>
  <c r="V5" i="8" s="1"/>
  <c r="L58" i="8"/>
  <c r="L52" i="8"/>
  <c r="L46" i="8"/>
  <c r="L47" i="8"/>
  <c r="L48" i="8"/>
  <c r="L49" i="8"/>
  <c r="L50" i="8"/>
  <c r="L43" i="8"/>
  <c r="L39" i="8"/>
  <c r="L40" i="8"/>
  <c r="L41" i="8"/>
  <c r="L42" i="8"/>
  <c r="L38" i="8"/>
  <c r="L32" i="8"/>
  <c r="L33" i="8"/>
  <c r="L34" i="8"/>
  <c r="L35" i="8"/>
  <c r="L31" i="8"/>
  <c r="L10" i="8"/>
  <c r="Q10" i="8"/>
  <c r="Q12" i="8"/>
  <c r="Q13" i="8"/>
  <c r="Q14" i="8"/>
  <c r="M42" i="3"/>
  <c r="Q42" i="3"/>
  <c r="I34" i="3"/>
  <c r="M34" i="3"/>
  <c r="I35" i="3"/>
  <c r="M35" i="3"/>
  <c r="I27" i="3"/>
  <c r="M27" i="3"/>
  <c r="I28" i="3"/>
  <c r="M28" i="3"/>
  <c r="I21" i="3"/>
  <c r="M21" i="3"/>
  <c r="I20" i="3"/>
  <c r="M20" i="3"/>
  <c r="I13" i="3"/>
  <c r="M13" i="3"/>
  <c r="Q45" i="3"/>
  <c r="Q46" i="3"/>
  <c r="Q47" i="3"/>
  <c r="Q48" i="3"/>
  <c r="Q49" i="3"/>
  <c r="Q50" i="3"/>
  <c r="M45" i="3"/>
  <c r="M46" i="3"/>
  <c r="M47" i="3"/>
  <c r="M48" i="3"/>
  <c r="M49" i="3"/>
  <c r="M50" i="3"/>
  <c r="I45" i="3"/>
  <c r="I46" i="3"/>
  <c r="I47" i="3"/>
  <c r="I48" i="3"/>
  <c r="I49" i="3"/>
  <c r="I50" i="3"/>
  <c r="L57" i="8" l="1"/>
  <c r="L5" i="8" s="1"/>
  <c r="Q57" i="8"/>
  <c r="E13" i="3"/>
  <c r="E7" i="3"/>
  <c r="F33" i="8"/>
  <c r="D26" i="16" s="1"/>
  <c r="E46" i="3"/>
  <c r="A42" i="16" s="1"/>
  <c r="E42" i="3"/>
  <c r="A38" i="16" s="1"/>
  <c r="E27" i="3"/>
  <c r="A23" i="16" s="1"/>
  <c r="F10" i="8"/>
  <c r="F48" i="8"/>
  <c r="F42" i="8"/>
  <c r="F41" i="8"/>
  <c r="F46" i="8"/>
  <c r="F39" i="8"/>
  <c r="F50" i="8"/>
  <c r="D42" i="16" s="1"/>
  <c r="F49" i="8"/>
  <c r="D41" i="16" s="1"/>
  <c r="E48" i="3"/>
  <c r="A44" i="16" s="1"/>
  <c r="E49" i="3"/>
  <c r="A45" i="16" s="1"/>
  <c r="E47" i="3"/>
  <c r="A43" i="16" s="1"/>
  <c r="B46" i="9"/>
  <c r="B47" i="9"/>
  <c r="B48" i="9"/>
  <c r="B49" i="9"/>
  <c r="B9" i="9"/>
  <c r="B10" i="9"/>
  <c r="B11" i="9"/>
  <c r="B12" i="9"/>
  <c r="B16" i="9"/>
  <c r="B17" i="9"/>
  <c r="B18" i="9"/>
  <c r="B19" i="9"/>
  <c r="B20" i="9"/>
  <c r="B24" i="9"/>
  <c r="B25" i="9"/>
  <c r="B27" i="9"/>
  <c r="B38" i="9"/>
  <c r="B39" i="9"/>
  <c r="B40" i="9"/>
  <c r="B41" i="9"/>
  <c r="B42" i="9"/>
  <c r="B45" i="9"/>
  <c r="C8" i="2" l="1"/>
  <c r="F8" i="2" s="1"/>
  <c r="G8" i="2" s="1"/>
  <c r="C9" i="2"/>
  <c r="F9" i="2" s="1"/>
  <c r="G9" i="2" s="1"/>
  <c r="Q5" i="8"/>
  <c r="E35" i="13"/>
  <c r="I41" i="3" l="1"/>
  <c r="Q41" i="3"/>
  <c r="M41" i="3"/>
  <c r="Y15" i="13" l="1"/>
  <c r="X15" i="13"/>
  <c r="V15" i="13"/>
  <c r="U15" i="13"/>
  <c r="W36" i="13" l="1"/>
  <c r="Q36" i="13" l="1"/>
  <c r="S35" i="13" s="1"/>
  <c r="D11" i="11" l="1"/>
  <c r="D7" i="12" l="1"/>
  <c r="D9" i="11"/>
  <c r="E9" i="11" s="1"/>
  <c r="E9" i="2" l="1"/>
  <c r="C50" i="9"/>
  <c r="E8" i="2" s="1"/>
  <c r="A39" i="12" l="1"/>
  <c r="R4" i="12" l="1"/>
  <c r="Q39" i="12"/>
  <c r="T36" i="13"/>
  <c r="V40" i="11"/>
  <c r="W6" i="11"/>
  <c r="W7" i="11" s="1"/>
  <c r="W8" i="11" s="1"/>
  <c r="X3" i="13"/>
  <c r="X4" i="13" s="1"/>
  <c r="X5" i="13" s="1"/>
  <c r="X6" i="13" s="1"/>
  <c r="X7" i="13" s="1"/>
  <c r="X8" i="13" s="1"/>
  <c r="X9" i="13" s="1"/>
  <c r="X10" i="13" s="1"/>
  <c r="X11" i="13" s="1"/>
  <c r="X12" i="13" s="1"/>
  <c r="X13" i="13" s="1"/>
  <c r="X14" i="13" s="1"/>
  <c r="X16" i="13" s="1"/>
  <c r="X17" i="13" s="1"/>
  <c r="X18" i="13" s="1"/>
  <c r="X19" i="13" s="1"/>
  <c r="X20" i="13" s="1"/>
  <c r="X21" i="13" s="1"/>
  <c r="X22" i="13" s="1"/>
  <c r="X23" i="13" s="1"/>
  <c r="X24" i="13" s="1"/>
  <c r="X25" i="13" s="1"/>
  <c r="X26" i="13" s="1"/>
  <c r="X27" i="13" s="1"/>
  <c r="X28" i="13" s="1"/>
  <c r="X29" i="13" s="1"/>
  <c r="X30" i="13" s="1"/>
  <c r="X31" i="13" s="1"/>
  <c r="X32" i="13" s="1"/>
  <c r="X33" i="13" s="1"/>
  <c r="X34" i="13" s="1"/>
  <c r="O39" i="12"/>
  <c r="P3" i="12"/>
  <c r="P4" i="12" s="1"/>
  <c r="P5" i="12" s="1"/>
  <c r="P6" i="12" s="1"/>
  <c r="P7" i="12" s="1"/>
  <c r="P8" i="12" s="1"/>
  <c r="P9" i="12" s="1"/>
  <c r="P10" i="12" s="1"/>
  <c r="P11" i="12" s="1"/>
  <c r="P12" i="12" s="1"/>
  <c r="P13" i="12" s="1"/>
  <c r="P14" i="12" s="1"/>
  <c r="P15" i="12" s="1"/>
  <c r="P16" i="12" s="1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P31" i="12" s="1"/>
  <c r="P32" i="12" s="1"/>
  <c r="P33" i="12" s="1"/>
  <c r="P34" i="12" s="1"/>
  <c r="P35" i="12" s="1"/>
  <c r="P36" i="12" s="1"/>
  <c r="P37" i="12" s="1"/>
  <c r="P38" i="12" s="1"/>
  <c r="Q3" i="11"/>
  <c r="R3" i="11" s="1"/>
  <c r="P40" i="11"/>
  <c r="R3" i="13"/>
  <c r="Y34" i="13" l="1"/>
  <c r="X35" i="13"/>
  <c r="S3" i="13"/>
  <c r="X6" i="11"/>
  <c r="R4" i="13"/>
  <c r="Q4" i="11"/>
  <c r="W9" i="11"/>
  <c r="X8" i="11"/>
  <c r="X7" i="11"/>
  <c r="B3" i="13"/>
  <c r="B36" i="13" s="1"/>
  <c r="A40" i="11"/>
  <c r="B12" i="1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8" i="12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D34" i="13" l="1"/>
  <c r="D35" i="13"/>
  <c r="D33" i="13"/>
  <c r="Y35" i="13"/>
  <c r="C3" i="13"/>
  <c r="R4" i="11"/>
  <c r="Q5" i="11"/>
  <c r="S4" i="13"/>
  <c r="R5" i="13"/>
  <c r="W10" i="11"/>
  <c r="X9" i="11"/>
  <c r="C15" i="11"/>
  <c r="C23" i="11"/>
  <c r="C21" i="11"/>
  <c r="C17" i="11"/>
  <c r="C38" i="11"/>
  <c r="C14" i="11"/>
  <c r="C13" i="11"/>
  <c r="C36" i="11"/>
  <c r="C24" i="11"/>
  <c r="C35" i="11"/>
  <c r="C22" i="11"/>
  <c r="C32" i="11"/>
  <c r="C19" i="11"/>
  <c r="C18" i="11"/>
  <c r="C28" i="11"/>
  <c r="C16" i="11"/>
  <c r="C26" i="11"/>
  <c r="C37" i="11"/>
  <c r="C25" i="11"/>
  <c r="C34" i="11"/>
  <c r="C33" i="11"/>
  <c r="C20" i="11"/>
  <c r="C31" i="11"/>
  <c r="C12" i="11"/>
  <c r="C30" i="11"/>
  <c r="C29" i="11"/>
  <c r="C39" i="11"/>
  <c r="C27" i="11"/>
  <c r="C5" i="13" l="1"/>
  <c r="D3" i="13"/>
  <c r="C4" i="13"/>
  <c r="D4" i="13" s="1"/>
  <c r="Q6" i="11"/>
  <c r="R5" i="11"/>
  <c r="R6" i="13"/>
  <c r="S5" i="13"/>
  <c r="W11" i="11"/>
  <c r="X10" i="11"/>
  <c r="U3" i="13"/>
  <c r="U4" i="13" s="1"/>
  <c r="F43" i="8" l="1"/>
  <c r="F57" i="8"/>
  <c r="D38" i="11"/>
  <c r="E19" i="13"/>
  <c r="C6" i="13"/>
  <c r="D5" i="13"/>
  <c r="R7" i="13"/>
  <c r="S6" i="13"/>
  <c r="Q7" i="11"/>
  <c r="R6" i="11"/>
  <c r="W12" i="11"/>
  <c r="X11" i="11"/>
  <c r="U5" i="13"/>
  <c r="D23" i="11"/>
  <c r="F5" i="8" l="1"/>
  <c r="C7" i="13"/>
  <c r="D6" i="13"/>
  <c r="R8" i="13"/>
  <c r="S7" i="13"/>
  <c r="Q8" i="11"/>
  <c r="R7" i="11"/>
  <c r="W13" i="11"/>
  <c r="X12" i="11"/>
  <c r="U6" i="13"/>
  <c r="C8" i="13" l="1"/>
  <c r="D7" i="13"/>
  <c r="R9" i="13"/>
  <c r="S8" i="13"/>
  <c r="Q9" i="11"/>
  <c r="R8" i="11"/>
  <c r="W14" i="11"/>
  <c r="X13" i="11"/>
  <c r="U7" i="13"/>
  <c r="D8" i="13" l="1"/>
  <c r="C9" i="13"/>
  <c r="C11" i="13"/>
  <c r="R10" i="13"/>
  <c r="S9" i="13"/>
  <c r="Q10" i="11"/>
  <c r="R9" i="11"/>
  <c r="W15" i="11"/>
  <c r="X14" i="11"/>
  <c r="U8" i="13"/>
  <c r="C12" i="13" l="1"/>
  <c r="D11" i="13"/>
  <c r="D9" i="13"/>
  <c r="C10" i="13"/>
  <c r="D10" i="13" s="1"/>
  <c r="R11" i="13"/>
  <c r="S10" i="13"/>
  <c r="Q11" i="11"/>
  <c r="R10" i="11"/>
  <c r="W16" i="11"/>
  <c r="X15" i="11"/>
  <c r="U9" i="13"/>
  <c r="C13" i="13" l="1"/>
  <c r="D12" i="13"/>
  <c r="Q12" i="11"/>
  <c r="R11" i="11"/>
  <c r="R12" i="13"/>
  <c r="S11" i="13"/>
  <c r="W17" i="11"/>
  <c r="X16" i="11"/>
  <c r="U10" i="13"/>
  <c r="C14" i="13" l="1"/>
  <c r="D13" i="13"/>
  <c r="R13" i="13"/>
  <c r="S12" i="13"/>
  <c r="Q13" i="11"/>
  <c r="R12" i="11"/>
  <c r="W18" i="11"/>
  <c r="X17" i="11"/>
  <c r="U11" i="13"/>
  <c r="C15" i="13" l="1"/>
  <c r="D14" i="13"/>
  <c r="Q14" i="11"/>
  <c r="R13" i="11"/>
  <c r="R14" i="13"/>
  <c r="R15" i="13" s="1"/>
  <c r="S15" i="13" s="1"/>
  <c r="S13" i="13"/>
  <c r="W19" i="11"/>
  <c r="X18" i="11"/>
  <c r="U12" i="13"/>
  <c r="C16" i="13" l="1"/>
  <c r="D15" i="13"/>
  <c r="R16" i="13"/>
  <c r="S14" i="13"/>
  <c r="Q15" i="11"/>
  <c r="R14" i="11"/>
  <c r="W20" i="11"/>
  <c r="X19" i="11"/>
  <c r="U13" i="13"/>
  <c r="C17" i="13" l="1"/>
  <c r="D16" i="13"/>
  <c r="Q16" i="11"/>
  <c r="R15" i="11"/>
  <c r="R17" i="13"/>
  <c r="S16" i="13"/>
  <c r="W21" i="11"/>
  <c r="X20" i="11"/>
  <c r="U14" i="13"/>
  <c r="C18" i="13" l="1"/>
  <c r="D17" i="13"/>
  <c r="Q17" i="11"/>
  <c r="R16" i="11"/>
  <c r="R18" i="13"/>
  <c r="S17" i="13"/>
  <c r="W22" i="11"/>
  <c r="X21" i="11"/>
  <c r="U16" i="13"/>
  <c r="C19" i="13" l="1"/>
  <c r="D18" i="13"/>
  <c r="R19" i="13"/>
  <c r="S18" i="13"/>
  <c r="Q18" i="11"/>
  <c r="R17" i="11"/>
  <c r="W23" i="11"/>
  <c r="X22" i="11"/>
  <c r="U17" i="13"/>
  <c r="C20" i="13" l="1"/>
  <c r="D19" i="13"/>
  <c r="Q19" i="11"/>
  <c r="R18" i="11"/>
  <c r="R20" i="13"/>
  <c r="S19" i="13"/>
  <c r="W24" i="11"/>
  <c r="X23" i="11"/>
  <c r="U18" i="13"/>
  <c r="C21" i="13" l="1"/>
  <c r="D20" i="13"/>
  <c r="R21" i="13"/>
  <c r="S20" i="13"/>
  <c r="Q20" i="11"/>
  <c r="R19" i="11"/>
  <c r="W25" i="11"/>
  <c r="X24" i="11"/>
  <c r="U19" i="13"/>
  <c r="C22" i="13" l="1"/>
  <c r="D21" i="13"/>
  <c r="Q21" i="11"/>
  <c r="R20" i="11"/>
  <c r="R22" i="13"/>
  <c r="S21" i="13"/>
  <c r="W26" i="11"/>
  <c r="X25" i="11"/>
  <c r="U20" i="13"/>
  <c r="C23" i="13" l="1"/>
  <c r="D22" i="13"/>
  <c r="R23" i="13"/>
  <c r="S22" i="13"/>
  <c r="Q22" i="11"/>
  <c r="R21" i="11"/>
  <c r="W27" i="11"/>
  <c r="X26" i="11"/>
  <c r="U21" i="13"/>
  <c r="D23" i="13" l="1"/>
  <c r="C25" i="13"/>
  <c r="C24" i="13"/>
  <c r="D24" i="13" s="1"/>
  <c r="Q23" i="11"/>
  <c r="R22" i="11"/>
  <c r="R24" i="13"/>
  <c r="S23" i="13"/>
  <c r="W28" i="11"/>
  <c r="X27" i="11"/>
  <c r="U22" i="13"/>
  <c r="C26" i="13" l="1"/>
  <c r="D25" i="13"/>
  <c r="R25" i="13"/>
  <c r="S24" i="13"/>
  <c r="Q24" i="11"/>
  <c r="R23" i="11"/>
  <c r="W29" i="11"/>
  <c r="X28" i="11"/>
  <c r="U23" i="13"/>
  <c r="C27" i="13" l="1"/>
  <c r="D26" i="13"/>
  <c r="Q25" i="11"/>
  <c r="R24" i="11"/>
  <c r="R26" i="13"/>
  <c r="S25" i="13"/>
  <c r="W30" i="11"/>
  <c r="X29" i="11"/>
  <c r="U24" i="13"/>
  <c r="C28" i="13" l="1"/>
  <c r="D27" i="13"/>
  <c r="R27" i="13"/>
  <c r="S26" i="13"/>
  <c r="Q26" i="11"/>
  <c r="R25" i="11"/>
  <c r="W31" i="11"/>
  <c r="X30" i="11"/>
  <c r="U25" i="13"/>
  <c r="C29" i="13" l="1"/>
  <c r="D28" i="13"/>
  <c r="Q27" i="11"/>
  <c r="R26" i="11"/>
  <c r="R28" i="13"/>
  <c r="S27" i="13"/>
  <c r="W32" i="11"/>
  <c r="X31" i="11"/>
  <c r="U26" i="13"/>
  <c r="C30" i="13" l="1"/>
  <c r="D29" i="13"/>
  <c r="R29" i="13"/>
  <c r="S28" i="13"/>
  <c r="Q28" i="11"/>
  <c r="R27" i="11"/>
  <c r="W33" i="11"/>
  <c r="X32" i="11"/>
  <c r="U27" i="13"/>
  <c r="C31" i="13" l="1"/>
  <c r="D30" i="13"/>
  <c r="Q29" i="11"/>
  <c r="R28" i="11"/>
  <c r="R30" i="13"/>
  <c r="S29" i="13"/>
  <c r="W34" i="11"/>
  <c r="X33" i="11"/>
  <c r="U28" i="13"/>
  <c r="C32" i="13" l="1"/>
  <c r="D32" i="13" s="1"/>
  <c r="D31" i="13"/>
  <c r="R31" i="13"/>
  <c r="S30" i="13"/>
  <c r="Q30" i="11"/>
  <c r="R29" i="11"/>
  <c r="W35" i="11"/>
  <c r="X34" i="11"/>
  <c r="U29" i="13"/>
  <c r="Q31" i="11" l="1"/>
  <c r="R30" i="11"/>
  <c r="R32" i="13"/>
  <c r="S31" i="13"/>
  <c r="W36" i="11"/>
  <c r="X35" i="11"/>
  <c r="U30" i="13"/>
  <c r="R33" i="13" l="1"/>
  <c r="S32" i="13"/>
  <c r="Q32" i="11"/>
  <c r="R31" i="11"/>
  <c r="W37" i="11"/>
  <c r="X36" i="11"/>
  <c r="U31" i="13"/>
  <c r="Q33" i="11" l="1"/>
  <c r="R32" i="11"/>
  <c r="R34" i="13"/>
  <c r="S34" i="13" s="1"/>
  <c r="S33" i="13"/>
  <c r="W38" i="11"/>
  <c r="X37" i="11"/>
  <c r="U32" i="13"/>
  <c r="Q34" i="11" l="1"/>
  <c r="R33" i="11"/>
  <c r="W39" i="11"/>
  <c r="X39" i="11" s="1"/>
  <c r="X38" i="11"/>
  <c r="U33" i="13"/>
  <c r="U34" i="13" s="1"/>
  <c r="U35" i="13" s="1"/>
  <c r="Q35" i="11" l="1"/>
  <c r="R34" i="11"/>
  <c r="Q36" i="11" l="1"/>
  <c r="R35" i="11"/>
  <c r="Q37" i="11" l="1"/>
  <c r="R36" i="11"/>
  <c r="Q38" i="11" l="1"/>
  <c r="R37" i="11"/>
  <c r="Q39" i="11" l="1"/>
  <c r="R39" i="11" s="1"/>
  <c r="R38" i="11"/>
  <c r="C22" i="12"/>
  <c r="C16" i="12" l="1"/>
  <c r="C15" i="12"/>
  <c r="C14" i="12"/>
  <c r="C13" i="12"/>
  <c r="C12" i="12"/>
  <c r="C11" i="12"/>
  <c r="C10" i="12"/>
  <c r="C9" i="12"/>
  <c r="C8" i="12"/>
  <c r="D8" i="12" s="1"/>
  <c r="D9" i="12" l="1"/>
  <c r="D10" i="12" s="1"/>
  <c r="D11" i="12" s="1"/>
  <c r="D12" i="12" s="1"/>
  <c r="D13" i="12" s="1"/>
  <c r="D14" i="12" s="1"/>
  <c r="D15" i="12" s="1"/>
  <c r="D16" i="12" s="1"/>
  <c r="C37" i="12" l="1"/>
  <c r="Q54" i="3" l="1"/>
  <c r="M54" i="3"/>
  <c r="I54" i="3"/>
  <c r="E33" i="13"/>
  <c r="C36" i="12" l="1"/>
  <c r="I38" i="3" l="1"/>
  <c r="I39" i="3"/>
  <c r="I40" i="3"/>
  <c r="AK55" i="3"/>
  <c r="C35" i="12" l="1"/>
  <c r="C34" i="12" l="1"/>
  <c r="C33" i="12" l="1"/>
  <c r="C32" i="12" l="1"/>
  <c r="AW7" i="3"/>
  <c r="I32" i="3" l="1"/>
  <c r="I33" i="3"/>
  <c r="I25" i="3"/>
  <c r="I26" i="3"/>
  <c r="I17" i="3"/>
  <c r="I18" i="3"/>
  <c r="I19" i="3"/>
  <c r="I10" i="3" l="1"/>
  <c r="I53" i="3" s="1"/>
  <c r="I11" i="3"/>
  <c r="I12" i="3"/>
  <c r="J56" i="3"/>
  <c r="K56" i="3"/>
  <c r="N56" i="3"/>
  <c r="O56" i="3"/>
  <c r="R56" i="3"/>
  <c r="S56" i="3"/>
  <c r="T56" i="3"/>
  <c r="U56" i="3"/>
  <c r="W56" i="3"/>
  <c r="X56" i="3"/>
  <c r="Y56" i="3"/>
  <c r="Z56" i="3"/>
  <c r="AB56" i="3"/>
  <c r="AC56" i="3"/>
  <c r="AD56" i="3"/>
  <c r="AE56" i="3"/>
  <c r="AM56" i="3"/>
  <c r="AN56" i="3"/>
  <c r="AO56" i="3"/>
  <c r="AQ56" i="3"/>
  <c r="AR56" i="3"/>
  <c r="AS56" i="3"/>
  <c r="AT56" i="3"/>
  <c r="E3" i="13" l="1"/>
  <c r="F3" i="13" l="1"/>
  <c r="F4" i="13" l="1"/>
  <c r="V58" i="8" l="1"/>
  <c r="V59" i="8"/>
  <c r="L59" i="8" l="1"/>
  <c r="E9" i="13"/>
  <c r="E10" i="13"/>
  <c r="E18" i="3"/>
  <c r="E12" i="13" s="1"/>
  <c r="E13" i="13"/>
  <c r="E14" i="13"/>
  <c r="E31" i="13" l="1"/>
  <c r="E25" i="3"/>
  <c r="D53" i="3"/>
  <c r="B53" i="3"/>
  <c r="C53" i="3"/>
  <c r="E30" i="13"/>
  <c r="E29" i="13"/>
  <c r="E28" i="13"/>
  <c r="E39" i="3"/>
  <c r="E26" i="13"/>
  <c r="E25" i="13"/>
  <c r="E20" i="13"/>
  <c r="E22" i="13"/>
  <c r="E23" i="13"/>
  <c r="E21" i="13"/>
  <c r="E18" i="13"/>
  <c r="E26" i="3"/>
  <c r="E15" i="13"/>
  <c r="S39" i="12"/>
  <c r="R5" i="12"/>
  <c r="R6" i="12" s="1"/>
  <c r="R7" i="12" s="1"/>
  <c r="R8" i="12" s="1"/>
  <c r="R9" i="12" s="1"/>
  <c r="R10" i="12" s="1"/>
  <c r="R11" i="12" s="1"/>
  <c r="R12" i="12" s="1"/>
  <c r="R13" i="12" s="1"/>
  <c r="R14" i="12" s="1"/>
  <c r="R15" i="12" s="1"/>
  <c r="R16" i="12" s="1"/>
  <c r="R17" i="12" s="1"/>
  <c r="R18" i="12" s="1"/>
  <c r="R19" i="12" s="1"/>
  <c r="R20" i="12" s="1"/>
  <c r="R21" i="12" s="1"/>
  <c r="R22" i="12" s="1"/>
  <c r="R23" i="12" s="1"/>
  <c r="R24" i="12" s="1"/>
  <c r="R25" i="12" s="1"/>
  <c r="R26" i="12" s="1"/>
  <c r="R27" i="12" s="1"/>
  <c r="R28" i="12" s="1"/>
  <c r="R29" i="12" s="1"/>
  <c r="R30" i="12" s="1"/>
  <c r="R31" i="12" s="1"/>
  <c r="R32" i="12" s="1"/>
  <c r="R33" i="12" s="1"/>
  <c r="R34" i="12" s="1"/>
  <c r="R35" i="12" s="1"/>
  <c r="R36" i="12" s="1"/>
  <c r="R37" i="12" s="1"/>
  <c r="R38" i="12" s="1"/>
  <c r="E27" i="13" l="1"/>
  <c r="A35" i="16"/>
  <c r="E17" i="13"/>
  <c r="A22" i="16"/>
  <c r="D56" i="3"/>
  <c r="E16" i="13"/>
  <c r="A21" i="16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  <c r="B35" i="16" s="1"/>
  <c r="B36" i="16" s="1"/>
  <c r="B37" i="16" s="1"/>
  <c r="B38" i="16" s="1"/>
  <c r="B39" i="16" s="1"/>
  <c r="B40" i="16" s="1"/>
  <c r="B41" i="16" s="1"/>
  <c r="B42" i="16" s="1"/>
  <c r="B43" i="16" s="1"/>
  <c r="B44" i="16" s="1"/>
  <c r="B45" i="16" s="1"/>
  <c r="E5" i="13"/>
  <c r="F5" i="13" s="1"/>
  <c r="E36" i="13"/>
  <c r="S40" i="11"/>
  <c r="T6" i="11" l="1"/>
  <c r="T7" i="11" l="1"/>
  <c r="U6" i="11"/>
  <c r="T8" i="11" l="1"/>
  <c r="U7" i="11"/>
  <c r="T9" i="11" l="1"/>
  <c r="U8" i="11"/>
  <c r="T10" i="11" l="1"/>
  <c r="U9" i="11"/>
  <c r="Y3" i="13"/>
  <c r="T4" i="12"/>
  <c r="T5" i="12" s="1"/>
  <c r="T6" i="12" s="1"/>
  <c r="T7" i="12" s="1"/>
  <c r="T8" i="12" s="1"/>
  <c r="T9" i="12" s="1"/>
  <c r="T10" i="12" s="1"/>
  <c r="T11" i="12" s="1"/>
  <c r="T12" i="12" s="1"/>
  <c r="T13" i="12" s="1"/>
  <c r="T14" i="12" s="1"/>
  <c r="T15" i="12" s="1"/>
  <c r="T16" i="12" s="1"/>
  <c r="T17" i="12" s="1"/>
  <c r="T18" i="12" s="1"/>
  <c r="T19" i="12" s="1"/>
  <c r="U10" i="11" l="1"/>
  <c r="T11" i="11"/>
  <c r="Y4" i="13"/>
  <c r="T20" i="12"/>
  <c r="T21" i="12" s="1"/>
  <c r="T22" i="12" s="1"/>
  <c r="T23" i="12" s="1"/>
  <c r="T24" i="12" s="1"/>
  <c r="T25" i="12" s="1"/>
  <c r="T26" i="12" s="1"/>
  <c r="T27" i="12" s="1"/>
  <c r="T28" i="12" s="1"/>
  <c r="T29" i="12" s="1"/>
  <c r="T30" i="12" s="1"/>
  <c r="T31" i="12" s="1"/>
  <c r="T32" i="12" s="1"/>
  <c r="T33" i="12" s="1"/>
  <c r="T34" i="12" s="1"/>
  <c r="T35" i="12" s="1"/>
  <c r="T36" i="12" s="1"/>
  <c r="T37" i="12" s="1"/>
  <c r="T38" i="12" s="1"/>
  <c r="T12" i="11" l="1"/>
  <c r="U11" i="11"/>
  <c r="Y5" i="13"/>
  <c r="T13" i="11" l="1"/>
  <c r="U12" i="11"/>
  <c r="Y6" i="13"/>
  <c r="T14" i="11" l="1"/>
  <c r="U13" i="11"/>
  <c r="Y7" i="13"/>
  <c r="T15" i="11" l="1"/>
  <c r="U14" i="11"/>
  <c r="Y8" i="13"/>
  <c r="T16" i="11" l="1"/>
  <c r="U15" i="11"/>
  <c r="Y9" i="13"/>
  <c r="T17" i="11" l="1"/>
  <c r="U16" i="11"/>
  <c r="Y10" i="13"/>
  <c r="T18" i="11" l="1"/>
  <c r="U17" i="11"/>
  <c r="Y11" i="13"/>
  <c r="T19" i="11" l="1"/>
  <c r="U18" i="11"/>
  <c r="Y12" i="13"/>
  <c r="T20" i="11" l="1"/>
  <c r="U19" i="11"/>
  <c r="Y13" i="13"/>
  <c r="T21" i="11" l="1"/>
  <c r="U20" i="11"/>
  <c r="Y14" i="13"/>
  <c r="T22" i="11" l="1"/>
  <c r="U21" i="11"/>
  <c r="Y16" i="13"/>
  <c r="T23" i="11" l="1"/>
  <c r="U22" i="11"/>
  <c r="Y17" i="13"/>
  <c r="T24" i="11" l="1"/>
  <c r="U23" i="11"/>
  <c r="Y18" i="13"/>
  <c r="D10" i="11"/>
  <c r="E10" i="11" l="1"/>
  <c r="E11" i="11" s="1"/>
  <c r="T25" i="11"/>
  <c r="U24" i="11"/>
  <c r="Y19" i="13"/>
  <c r="T26" i="11" l="1"/>
  <c r="U25" i="11"/>
  <c r="Y20" i="13"/>
  <c r="T27" i="11" l="1"/>
  <c r="U26" i="11"/>
  <c r="Y21" i="13"/>
  <c r="T28" i="11" l="1"/>
  <c r="U27" i="11"/>
  <c r="Y22" i="13"/>
  <c r="T29" i="11" l="1"/>
  <c r="U28" i="11"/>
  <c r="Y23" i="13"/>
  <c r="T30" i="11" l="1"/>
  <c r="U29" i="11"/>
  <c r="Y24" i="13"/>
  <c r="Q57" i="3"/>
  <c r="Q40" i="3"/>
  <c r="Q39" i="3"/>
  <c r="Q38" i="3"/>
  <c r="Q53" i="3" s="1"/>
  <c r="M40" i="3"/>
  <c r="M39" i="3"/>
  <c r="M38" i="3"/>
  <c r="M33" i="3"/>
  <c r="M32" i="3"/>
  <c r="M26" i="3"/>
  <c r="M25" i="3"/>
  <c r="M19" i="3"/>
  <c r="M18" i="3"/>
  <c r="M17" i="3"/>
  <c r="M12" i="3"/>
  <c r="E12" i="3" s="1"/>
  <c r="M11" i="3"/>
  <c r="E11" i="3" s="1"/>
  <c r="E7" i="13" s="1"/>
  <c r="M10" i="3"/>
  <c r="E10" i="3" s="1"/>
  <c r="I55" i="3"/>
  <c r="B8" i="2"/>
  <c r="M53" i="3" l="1"/>
  <c r="E17" i="3"/>
  <c r="E11" i="13" s="1"/>
  <c r="E53" i="3"/>
  <c r="E5" i="3" s="1"/>
  <c r="E8" i="13"/>
  <c r="C10" i="2"/>
  <c r="F10" i="2" s="1"/>
  <c r="G10" i="2" s="1"/>
  <c r="G12" i="2" s="1"/>
  <c r="E6" i="13"/>
  <c r="F6" i="13" s="1"/>
  <c r="F7" i="13" s="1"/>
  <c r="B9" i="2"/>
  <c r="B10" i="2"/>
  <c r="T31" i="11"/>
  <c r="U30" i="11"/>
  <c r="Y25" i="13"/>
  <c r="AU57" i="3"/>
  <c r="AP57" i="3"/>
  <c r="AA57" i="3"/>
  <c r="AF57" i="3"/>
  <c r="I57" i="3"/>
  <c r="V57" i="3"/>
  <c r="M57" i="3"/>
  <c r="D21" i="11"/>
  <c r="D20" i="11"/>
  <c r="D36" i="11"/>
  <c r="D24" i="11"/>
  <c r="D16" i="11"/>
  <c r="D22" i="11"/>
  <c r="D17" i="11"/>
  <c r="D19" i="11"/>
  <c r="D33" i="11"/>
  <c r="D28" i="11"/>
  <c r="D25" i="11"/>
  <c r="D32" i="11"/>
  <c r="D29" i="11"/>
  <c r="D26" i="11"/>
  <c r="I56" i="3"/>
  <c r="AU55" i="3"/>
  <c r="AU56" i="3" s="1"/>
  <c r="AP55" i="3"/>
  <c r="AP56" i="3" s="1"/>
  <c r="AF55" i="3"/>
  <c r="AF56" i="3" s="1"/>
  <c r="AA55" i="3"/>
  <c r="AA56" i="3" s="1"/>
  <c r="V55" i="3"/>
  <c r="V56" i="3" s="1"/>
  <c r="Q55" i="3"/>
  <c r="Q56" i="3" s="1"/>
  <c r="D15" i="11"/>
  <c r="D30" i="11"/>
  <c r="D13" i="11"/>
  <c r="D39" i="11"/>
  <c r="D35" i="11"/>
  <c r="D18" i="11"/>
  <c r="D34" i="11"/>
  <c r="D27" i="11"/>
  <c r="D31" i="11"/>
  <c r="D14" i="11"/>
  <c r="M55" i="3"/>
  <c r="F8" i="13" l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B12" i="2"/>
  <c r="D37" i="11"/>
  <c r="T32" i="11"/>
  <c r="U31" i="11"/>
  <c r="Y26" i="13"/>
  <c r="M56" i="3"/>
  <c r="D12" i="11" l="1"/>
  <c r="D40" i="11"/>
  <c r="T33" i="11"/>
  <c r="U32" i="11"/>
  <c r="Y27" i="13"/>
  <c r="E12" i="11" l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T34" i="11"/>
  <c r="U33" i="11"/>
  <c r="Y28" i="13"/>
  <c r="T35" i="11" l="1"/>
  <c r="U34" i="11"/>
  <c r="Y29" i="13"/>
  <c r="T36" i="11" l="1"/>
  <c r="U35" i="11"/>
  <c r="Y30" i="13"/>
  <c r="T37" i="11" l="1"/>
  <c r="U36" i="11"/>
  <c r="Y31" i="13"/>
  <c r="T38" i="11" l="1"/>
  <c r="U37" i="11"/>
  <c r="Y33" i="13"/>
  <c r="Y32" i="13"/>
  <c r="T39" i="11" l="1"/>
  <c r="U39" i="11" s="1"/>
  <c r="U38" i="11"/>
  <c r="C31" i="12" l="1"/>
  <c r="C26" i="12"/>
  <c r="C21" i="12"/>
  <c r="C20" i="12"/>
  <c r="C19" i="12"/>
  <c r="C24" i="12"/>
  <c r="C28" i="12"/>
  <c r="C30" i="12"/>
  <c r="C17" i="12"/>
  <c r="D17" i="12" s="1"/>
  <c r="C18" i="12"/>
  <c r="C29" i="12"/>
  <c r="C23" i="12"/>
  <c r="D18" i="12" l="1"/>
  <c r="D19" i="12" s="1"/>
  <c r="D20" i="12" s="1"/>
  <c r="D21" i="12" s="1"/>
  <c r="D22" i="12" s="1"/>
  <c r="D23" i="12" s="1"/>
  <c r="D24" i="12" s="1"/>
  <c r="C39" i="12" l="1"/>
  <c r="V21" i="13"/>
  <c r="V4" i="13"/>
  <c r="V26" i="13"/>
  <c r="V29" i="13"/>
  <c r="V9" i="13"/>
  <c r="V14" i="13"/>
  <c r="V20" i="13"/>
  <c r="V11" i="13"/>
  <c r="V7" i="13"/>
  <c r="V13" i="13"/>
  <c r="V30" i="13"/>
  <c r="V22" i="13"/>
  <c r="V12" i="13"/>
  <c r="V19" i="13"/>
  <c r="V16" i="13"/>
  <c r="V34" i="13"/>
  <c r="V18" i="13"/>
  <c r="V6" i="13"/>
  <c r="V28" i="13"/>
  <c r="V24" i="13"/>
  <c r="V8" i="13"/>
  <c r="V5" i="13"/>
  <c r="V23" i="13"/>
  <c r="V27" i="13"/>
  <c r="V32" i="13"/>
  <c r="V17" i="13"/>
  <c r="V10" i="13"/>
  <c r="V31" i="13"/>
  <c r="V33" i="13"/>
  <c r="V3" i="13"/>
  <c r="V25" i="13"/>
  <c r="V35" i="13"/>
  <c r="C12" i="2" l="1"/>
  <c r="F12" i="2" s="1"/>
  <c r="Q59" i="8"/>
  <c r="Q58" i="8"/>
  <c r="D16" i="2" l="1"/>
  <c r="B33" i="9"/>
  <c r="E10" i="2"/>
  <c r="E12" i="2" s="1"/>
  <c r="AG53" i="15"/>
  <c r="AG4" i="15" s="1"/>
  <c r="D17" i="2" l="1"/>
  <c r="D19" i="2"/>
  <c r="D14" i="2"/>
  <c r="G2" i="17"/>
  <c r="C25" i="12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B50" i="9"/>
  <c r="B5" i="9" s="1"/>
</calcChain>
</file>

<file path=xl/sharedStrings.xml><?xml version="1.0" encoding="utf-8"?>
<sst xmlns="http://schemas.openxmlformats.org/spreadsheetml/2006/main" count="351" uniqueCount="112">
  <si>
    <t>Fairfax County</t>
  </si>
  <si>
    <t>Absentee Ballot Report</t>
  </si>
  <si>
    <t>Mailed</t>
  </si>
  <si>
    <t>In Person</t>
  </si>
  <si>
    <t>Total Ballots Cast</t>
  </si>
  <si>
    <t>Total</t>
  </si>
  <si>
    <t>Mailed Absentee Ballots</t>
  </si>
  <si>
    <t>Date</t>
  </si>
  <si>
    <t>Domestic</t>
  </si>
  <si>
    <t>UOCAVA</t>
  </si>
  <si>
    <t>E-mail UOCAVA</t>
  </si>
  <si>
    <t>Returned Absentee Ballots</t>
  </si>
  <si>
    <t>Government Center</t>
  </si>
  <si>
    <t xml:space="preserve"> </t>
  </si>
  <si>
    <t>In-person Absentee Voting -- Applications by Satellite</t>
  </si>
  <si>
    <t>2018 % Returned of Total</t>
  </si>
  <si>
    <t>Congressional District</t>
  </si>
  <si>
    <t>CD 8</t>
  </si>
  <si>
    <t>CD 10</t>
  </si>
  <si>
    <t>CD 11</t>
  </si>
  <si>
    <t>Unused/ undeliverable</t>
  </si>
  <si>
    <t>Comparing Absentee Ballot  Mailout</t>
  </si>
  <si>
    <t>2016 Nov Mailout</t>
  </si>
  <si>
    <t>2016 % Mailed of Final Total</t>
  </si>
  <si>
    <t>2019 % Returned of Total</t>
  </si>
  <si>
    <t>2016 % Returned of Final Total</t>
  </si>
  <si>
    <t>2016 Nov Returned</t>
  </si>
  <si>
    <t>2018 Nov Returned</t>
  </si>
  <si>
    <t>2019 Nov  Returned</t>
  </si>
  <si>
    <t>2018 Nov Mailed</t>
  </si>
  <si>
    <t>2018 % Mailed of Total</t>
  </si>
  <si>
    <t>2016 Nov Running Total</t>
  </si>
  <si>
    <t>2018 Nov Running Total</t>
  </si>
  <si>
    <t>2016 March Dem Running Total</t>
  </si>
  <si>
    <t>2016 Democratic March Returnd</t>
  </si>
  <si>
    <t>2020 Dem March  Returned</t>
  </si>
  <si>
    <t>2019 Nov Running Total</t>
  </si>
  <si>
    <t>2019  Mailout</t>
  </si>
  <si>
    <t>2019 % Mailed of Final Total</t>
  </si>
  <si>
    <t xml:space="preserve">2016 March Running Total </t>
  </si>
  <si>
    <t>2020  Dem March Running Total</t>
  </si>
  <si>
    <t xml:space="preserve">2016 March Dem Running Total </t>
  </si>
  <si>
    <t>2020 March Running Total</t>
  </si>
  <si>
    <t xml:space="preserve">Comparing Running Totals of Returned Ballots </t>
  </si>
  <si>
    <t xml:space="preserve">Comparing In-person Absentee Voting </t>
  </si>
  <si>
    <t>2016 March Democratic  Mailout</t>
  </si>
  <si>
    <t>2020 March          In-person by Day</t>
  </si>
  <si>
    <t>2016 March Democratic         In-person by Day</t>
  </si>
  <si>
    <t>2016 Nov        In-person by Day</t>
  </si>
  <si>
    <t>2018 Nov           In-person by Day</t>
  </si>
  <si>
    <t>2019 Nov        In-person by Day</t>
  </si>
  <si>
    <t xml:space="preserve"> .</t>
  </si>
  <si>
    <t>FWAB</t>
  </si>
  <si>
    <t xml:space="preserve">Total In Person </t>
  </si>
  <si>
    <t>CD 11-Herndon</t>
  </si>
  <si>
    <t>November 3 2020 ▪ General Election</t>
  </si>
  <si>
    <t>November 3, 2020 ▪ General Election</t>
  </si>
  <si>
    <t xml:space="preserve">UOCAVA E-mail, all styles </t>
  </si>
  <si>
    <t>UOCAVA mail</t>
  </si>
  <si>
    <t>November 3 2020 General Election</t>
  </si>
  <si>
    <t>General Election</t>
  </si>
  <si>
    <t>November 3, 2020</t>
  </si>
  <si>
    <t>Franconia</t>
  </si>
  <si>
    <t xml:space="preserve">Herndon </t>
  </si>
  <si>
    <t xml:space="preserve">Great Falls </t>
  </si>
  <si>
    <t xml:space="preserve">Centreville </t>
  </si>
  <si>
    <t>Mason</t>
  </si>
  <si>
    <t>McLean</t>
  </si>
  <si>
    <t>North County</t>
  </si>
  <si>
    <t>Providence</t>
  </si>
  <si>
    <t>Sully</t>
  </si>
  <si>
    <t>Thomas Jefferson</t>
  </si>
  <si>
    <t>Tysons Pimmit</t>
  </si>
  <si>
    <t>West Springfield</t>
  </si>
  <si>
    <t>Mailed Ballots Returned to Dropboxes -- by Satellite</t>
  </si>
  <si>
    <t>Dropbox</t>
  </si>
  <si>
    <t>Herndon</t>
  </si>
  <si>
    <t>11-Herndon</t>
  </si>
  <si>
    <t>CD 11- Herndon</t>
  </si>
  <si>
    <t>C11</t>
  </si>
  <si>
    <t>Total  Mailed</t>
  </si>
  <si>
    <t>Total Returned by Mail</t>
  </si>
  <si>
    <t>Returned by mail</t>
  </si>
  <si>
    <t>CD11</t>
  </si>
  <si>
    <t>November 2020</t>
  </si>
  <si>
    <t>Return daily</t>
  </si>
  <si>
    <t>OutgoingDaily</t>
  </si>
  <si>
    <t xml:space="preserve">Outgoing Cumulative </t>
  </si>
  <si>
    <t xml:space="preserve">Return Cumulative </t>
  </si>
  <si>
    <t>Fairfax City /Falls Church/ Alex City</t>
  </si>
  <si>
    <t>Total Returned Absentee Ballots</t>
  </si>
  <si>
    <t>digital returned</t>
  </si>
  <si>
    <t>CD  11</t>
  </si>
  <si>
    <t xml:space="preserve">CD 11 </t>
  </si>
  <si>
    <t>Laurel Hill</t>
  </si>
  <si>
    <t>MT Vernon</t>
  </si>
  <si>
    <t>Mt Vernon</t>
  </si>
  <si>
    <t>Goldenrods</t>
  </si>
  <si>
    <t>Surrendered</t>
  </si>
  <si>
    <t>total</t>
  </si>
  <si>
    <t>% of satellite voters</t>
  </si>
  <si>
    <t>Sept 18- Oct 10</t>
  </si>
  <si>
    <t xml:space="preserve">Total  Dropbox* </t>
  </si>
  <si>
    <t>Absentee Ballot-by-Mail Voters -- Voted Early in Person</t>
  </si>
  <si>
    <t>2016 Return</t>
  </si>
  <si>
    <t>2016 Return total</t>
  </si>
  <si>
    <t>% returned of total</t>
  </si>
  <si>
    <t>% Returned</t>
  </si>
  <si>
    <t>Total Absentee-by-mail voters voting early in person</t>
  </si>
  <si>
    <t>% Returned ballots &amp; cancelled to vote in person</t>
  </si>
  <si>
    <t>Returned</t>
  </si>
  <si>
    <t>Plus 20 for group of uocavas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</si>
</sst>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m/d;@"/>
  </numFmts>
  <fonts count="35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b/>
      <sz val="18"/>
      <color theme="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2"/>
      <name val="Arial"/>
      <family val="2"/>
    </font>
    <font>
      <sz val="8"/>
      <color theme="1"/>
      <name val="Arial"/>
      <family val="2"/>
    </font>
    <font>
      <b/>
      <sz val="18"/>
      <color rgb="FF0000CC"/>
      <name val="Arial"/>
      <family val="2"/>
    </font>
    <font>
      <b/>
      <sz val="14"/>
      <color rgb="FF0000CC"/>
      <name val="Arial"/>
      <family val="2"/>
    </font>
    <font>
      <b/>
      <sz val="20"/>
      <color rgb="FF0000CC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1"/>
      <color rgb="FF7030A0"/>
      <name val="Arial"/>
      <family val="2"/>
    </font>
    <font>
      <sz val="11"/>
      <color rgb="FFC00000"/>
      <name val="Arial"/>
      <family val="2"/>
    </font>
    <font>
      <sz val="14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color rgb="FF0000FF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sz val="14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EB7B0"/>
        <bgColor indexed="64"/>
      </patternFill>
    </fill>
    <fill>
      <patternFill patternType="solid">
        <fgColor rgb="FFFFFF00"/>
        <bgColor indexed="64"/>
      </patternFill>
    </fill>
  </fills>
  <borders count="19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rgb="FF0000CC"/>
      </right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 style="thick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thick">
        <color auto="1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ck">
        <color auto="1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indexed="64"/>
      </left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auto="1"/>
      </right>
      <top style="thin">
        <color theme="0" tint="-0.24994659260841701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n">
        <color theme="0" tint="-0.24994659260841701"/>
      </top>
      <bottom/>
      <diagonal/>
    </border>
    <border>
      <left/>
      <right style="medium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ck">
        <color auto="1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/>
      <diagonal/>
    </border>
    <border>
      <left style="medium">
        <color indexed="64"/>
      </left>
      <right style="thick">
        <color auto="1"/>
      </right>
      <top/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/>
      <diagonal/>
    </border>
    <border>
      <left style="thick">
        <color auto="1"/>
      </left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/>
      <right style="thick">
        <color auto="1"/>
      </right>
      <top style="thin">
        <color theme="0" tint="-0.24994659260841701"/>
      </top>
      <bottom/>
      <diagonal/>
    </border>
    <border>
      <left/>
      <right style="medium">
        <color auto="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/>
      <right style="thick">
        <color auto="1"/>
      </right>
      <top/>
      <bottom style="thin">
        <color theme="0" tint="-0.24994659260841701"/>
      </bottom>
      <diagonal/>
    </border>
    <border>
      <left/>
      <right style="medium">
        <color auto="1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thick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ck">
        <color auto="1"/>
      </right>
      <top style="thin">
        <color theme="0" tint="-0.34998626667073579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34998626667073579"/>
      </bottom>
      <diagonal/>
    </border>
    <border>
      <left style="thick">
        <color auto="1"/>
      </left>
      <right style="thick">
        <color auto="1"/>
      </right>
      <top style="thin">
        <color theme="0" tint="-0.24994659260841701"/>
      </top>
      <bottom style="thin">
        <color theme="0" tint="-0.34998626667073579"/>
      </bottom>
      <diagonal/>
    </border>
    <border>
      <left style="thick">
        <color auto="1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indexed="64"/>
      </left>
      <right style="thick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auto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24994659260841701"/>
      </bottom>
      <diagonal/>
    </border>
    <border>
      <left style="thick">
        <color auto="1"/>
      </left>
      <right style="thick">
        <color auto="1"/>
      </right>
      <top style="thin">
        <color theme="0" tint="-0.34998626667073579"/>
      </top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14996795556505021"/>
      </bottom>
      <diagonal/>
    </border>
    <border>
      <left style="thick">
        <color auto="1"/>
      </left>
      <right style="thick">
        <color auto="1"/>
      </right>
      <top style="thin">
        <color theme="0" tint="-0.24994659260841701"/>
      </top>
      <bottom style="thin">
        <color theme="0" tint="-0.14996795556505021"/>
      </bottom>
      <diagonal/>
    </border>
    <border>
      <left style="thick">
        <color auto="1"/>
      </left>
      <right/>
      <top style="thin">
        <color theme="0" tint="-0.2499465926084170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24994659260841701"/>
      </bottom>
      <diagonal/>
    </border>
    <border>
      <left style="thick">
        <color auto="1"/>
      </left>
      <right style="thick">
        <color auto="1"/>
      </right>
      <top style="thin">
        <color theme="0" tint="-0.14996795556505021"/>
      </top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14996795556505021"/>
      </top>
      <bottom style="thin">
        <color theme="0" tint="-0.24994659260841701"/>
      </bottom>
      <diagonal/>
    </border>
    <border>
      <left/>
      <right style="thick">
        <color auto="1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auto="1"/>
      </right>
      <top style="thin">
        <color theme="0" tint="-0.2499465926084170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/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thick">
        <color auto="1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 style="thick">
        <color auto="1"/>
      </left>
      <right style="thick">
        <color auto="1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ck">
        <color auto="1"/>
      </left>
      <right/>
      <top/>
      <bottom style="thin">
        <color theme="0" tint="-0.1499679555650502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thin">
        <color theme="0" tint="-0.34998626667073579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ck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/>
      <bottom style="thin">
        <color theme="0" tint="-0.1499679555650502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/>
      <right style="medium">
        <color auto="1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 style="thick">
        <color indexed="64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ck">
        <color auto="1"/>
      </right>
      <top style="thin">
        <color theme="0" tint="-0.2499465926084170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thin">
        <color theme="0" tint="-0.24994659260841701"/>
      </top>
      <bottom style="medium">
        <color theme="0" tint="-0.14996795556505021"/>
      </bottom>
      <diagonal/>
    </border>
    <border>
      <left style="thick">
        <color auto="1"/>
      </left>
      <right/>
      <top style="thin">
        <color theme="0" tint="-0.24994659260841701"/>
      </top>
      <bottom style="medium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auto="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medium">
        <color auto="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34998626667073579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theme="0" tint="-0.24994659260841701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 style="thin">
        <color theme="0" tint="-0.24994659260841701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auto="1"/>
      </left>
      <right style="thin">
        <color theme="0" tint="-0.24994659260841701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854">
    <xf numFmtId="0" fontId="0" fillId="0" borderId="0" xfId="0"/>
    <xf numFmtId="0" fontId="0" fillId="0" borderId="0" xfId="0" applyProtection="1">
      <protection locked="0"/>
    </xf>
    <xf numFmtId="0" fontId="14" fillId="4" borderId="26" xfId="0" applyFont="1" applyFill="1" applyBorder="1" applyAlignment="1" applyProtection="1">
      <alignment horizontal="center" vertical="center" wrapText="1"/>
      <protection locked="0"/>
    </xf>
    <xf numFmtId="0" fontId="14" fillId="4" borderId="1" xfId="0" applyFont="1" applyFill="1" applyBorder="1" applyAlignment="1" applyProtection="1">
      <alignment horizontal="center" vertical="center" wrapText="1"/>
      <protection locked="0"/>
    </xf>
    <xf numFmtId="0" fontId="14" fillId="4" borderId="27" xfId="0" applyFont="1" applyFill="1" applyBorder="1" applyAlignment="1" applyProtection="1">
      <alignment horizontal="center" vertical="center" wrapText="1"/>
      <protection locked="0"/>
    </xf>
    <xf numFmtId="0" fontId="14" fillId="3" borderId="28" xfId="0" applyFont="1" applyFill="1" applyBorder="1" applyAlignment="1" applyProtection="1">
      <alignment horizontal="center" vertical="center" wrapText="1"/>
      <protection locked="0"/>
    </xf>
    <xf numFmtId="0" fontId="14" fillId="3" borderId="26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Protection="1">
      <protection locked="0"/>
    </xf>
    <xf numFmtId="0" fontId="14" fillId="2" borderId="23" xfId="0" applyFont="1" applyFill="1" applyBorder="1" applyAlignment="1" applyProtection="1">
      <alignment horizontal="center" vertical="center" wrapText="1"/>
      <protection locked="0"/>
    </xf>
    <xf numFmtId="0" fontId="14" fillId="2" borderId="27" xfId="0" applyFont="1" applyFill="1" applyBorder="1" applyAlignment="1" applyProtection="1">
      <alignment horizontal="center" vertical="center" wrapText="1"/>
      <protection locked="0"/>
    </xf>
    <xf numFmtId="0" fontId="14" fillId="8" borderId="13" xfId="0" applyFont="1" applyFill="1" applyBorder="1" applyAlignment="1" applyProtection="1">
      <alignment horizontal="center" vertical="center" wrapText="1"/>
      <protection locked="0"/>
    </xf>
    <xf numFmtId="0" fontId="14" fillId="8" borderId="29" xfId="0" applyFont="1" applyFill="1" applyBorder="1" applyAlignment="1" applyProtection="1">
      <alignment horizontal="center" vertical="center" wrapText="1"/>
      <protection locked="0"/>
    </xf>
    <xf numFmtId="0" fontId="13" fillId="8" borderId="1" xfId="1" applyFont="1" applyFill="1" applyBorder="1" applyAlignment="1" applyProtection="1">
      <alignment horizontal="center" vertical="center" wrapText="1"/>
      <protection locked="0"/>
    </xf>
    <xf numFmtId="0" fontId="14" fillId="7" borderId="28" xfId="0" applyFont="1" applyFill="1" applyBorder="1" applyAlignment="1" applyProtection="1">
      <alignment horizontal="center" vertical="center" wrapText="1"/>
      <protection locked="0"/>
    </xf>
    <xf numFmtId="0" fontId="14" fillId="7" borderId="23" xfId="0" applyFont="1" applyFill="1" applyBorder="1" applyAlignment="1" applyProtection="1">
      <alignment horizontal="center" vertical="center" wrapText="1"/>
      <protection locked="0"/>
    </xf>
    <xf numFmtId="0" fontId="14" fillId="7" borderId="26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15" fillId="0" borderId="0" xfId="0" applyFont="1" applyBorder="1" applyProtection="1">
      <protection locked="0"/>
    </xf>
    <xf numFmtId="0" fontId="0" fillId="0" borderId="0" xfId="0" applyBorder="1" applyProtection="1">
      <protection locked="0"/>
    </xf>
    <xf numFmtId="3" fontId="5" fillId="0" borderId="0" xfId="1" applyNumberFormat="1" applyBorder="1" applyProtection="1">
      <protection locked="0"/>
    </xf>
    <xf numFmtId="0" fontId="5" fillId="0" borderId="0" xfId="1" applyProtection="1">
      <protection locked="0"/>
    </xf>
    <xf numFmtId="0" fontId="15" fillId="0" borderId="0" xfId="0" applyFont="1" applyFill="1" applyBorder="1" applyProtection="1">
      <protection locked="0"/>
    </xf>
    <xf numFmtId="0" fontId="0" fillId="0" borderId="0" xfId="0" applyProtection="1"/>
    <xf numFmtId="3" fontId="14" fillId="0" borderId="0" xfId="0" applyNumberFormat="1" applyFont="1" applyBorder="1" applyProtection="1"/>
    <xf numFmtId="9" fontId="5" fillId="0" borderId="0" xfId="0" applyNumberFormat="1" applyFont="1" applyBorder="1" applyAlignment="1" applyProtection="1">
      <alignment horizontal="center"/>
    </xf>
    <xf numFmtId="0" fontId="15" fillId="0" borderId="0" xfId="0" applyFont="1" applyProtection="1"/>
    <xf numFmtId="0" fontId="0" fillId="0" borderId="0" xfId="0" applyBorder="1" applyProtection="1"/>
    <xf numFmtId="0" fontId="0" fillId="0" borderId="20" xfId="0" applyBorder="1" applyProtection="1"/>
    <xf numFmtId="3" fontId="13" fillId="0" borderId="0" xfId="1" applyNumberFormat="1" applyFont="1" applyProtection="1"/>
    <xf numFmtId="3" fontId="5" fillId="0" borderId="0" xfId="1" applyNumberFormat="1" applyBorder="1" applyProtection="1"/>
    <xf numFmtId="3" fontId="14" fillId="0" borderId="35" xfId="0" applyNumberFormat="1" applyFont="1" applyBorder="1" applyProtection="1"/>
    <xf numFmtId="0" fontId="15" fillId="0" borderId="0" xfId="0" applyFont="1" applyBorder="1" applyProtection="1"/>
    <xf numFmtId="0" fontId="14" fillId="3" borderId="30" xfId="0" applyFont="1" applyFill="1" applyBorder="1" applyAlignment="1" applyProtection="1">
      <alignment horizontal="center" vertical="center" wrapText="1"/>
      <protection locked="0"/>
    </xf>
    <xf numFmtId="0" fontId="14" fillId="3" borderId="29" xfId="0" applyFont="1" applyFill="1" applyBorder="1" applyAlignment="1" applyProtection="1">
      <alignment horizontal="center" vertical="center" wrapText="1"/>
      <protection locked="0"/>
    </xf>
    <xf numFmtId="0" fontId="5" fillId="0" borderId="0" xfId="1" applyAlignment="1" applyProtection="1">
      <alignment horizontal="right"/>
      <protection locked="0"/>
    </xf>
    <xf numFmtId="9" fontId="5" fillId="0" borderId="0" xfId="1" applyNumberFormat="1" applyBorder="1" applyProtection="1">
      <protection locked="0"/>
    </xf>
    <xf numFmtId="0" fontId="5" fillId="0" borderId="25" xfId="1" applyBorder="1" applyProtection="1">
      <protection locked="0"/>
    </xf>
    <xf numFmtId="3" fontId="5" fillId="0" borderId="0" xfId="1" applyNumberFormat="1" applyProtection="1">
      <protection locked="0"/>
    </xf>
    <xf numFmtId="4" fontId="5" fillId="0" borderId="0" xfId="1" applyNumberFormat="1" applyProtection="1">
      <protection locked="0"/>
    </xf>
    <xf numFmtId="0" fontId="5" fillId="0" borderId="0" xfId="1" applyBorder="1" applyProtection="1">
      <protection locked="0"/>
    </xf>
    <xf numFmtId="1" fontId="5" fillId="0" borderId="0" xfId="1" applyNumberFormat="1" applyProtection="1">
      <protection locked="0"/>
    </xf>
    <xf numFmtId="0" fontId="14" fillId="4" borderId="29" xfId="0" applyFont="1" applyFill="1" applyBorder="1" applyAlignment="1" applyProtection="1">
      <alignment horizontal="center" vertical="center" wrapText="1"/>
    </xf>
    <xf numFmtId="0" fontId="14" fillId="4" borderId="32" xfId="0" applyFont="1" applyFill="1" applyBorder="1" applyAlignment="1" applyProtection="1">
      <alignment horizontal="center" vertical="center" wrapText="1"/>
    </xf>
    <xf numFmtId="0" fontId="14" fillId="4" borderId="34" xfId="0" applyFont="1" applyFill="1" applyBorder="1" applyAlignment="1" applyProtection="1">
      <alignment horizontal="center" vertical="center" wrapText="1"/>
    </xf>
    <xf numFmtId="0" fontId="14" fillId="2" borderId="34" xfId="0" applyFont="1" applyFill="1" applyBorder="1" applyAlignment="1" applyProtection="1">
      <alignment horizontal="center" vertical="center" wrapText="1"/>
    </xf>
    <xf numFmtId="0" fontId="14" fillId="8" borderId="30" xfId="0" applyFont="1" applyFill="1" applyBorder="1" applyAlignment="1" applyProtection="1">
      <alignment horizontal="center" vertical="center" wrapText="1"/>
    </xf>
    <xf numFmtId="0" fontId="14" fillId="8" borderId="26" xfId="0" applyFont="1" applyFill="1" applyBorder="1" applyAlignment="1" applyProtection="1">
      <alignment horizontal="center" vertical="center" wrapText="1"/>
    </xf>
    <xf numFmtId="0" fontId="13" fillId="8" borderId="34" xfId="1" applyFont="1" applyFill="1" applyBorder="1" applyAlignment="1" applyProtection="1">
      <alignment horizontal="center" vertical="center" wrapText="1"/>
    </xf>
    <xf numFmtId="0" fontId="14" fillId="7" borderId="30" xfId="0" applyFont="1" applyFill="1" applyBorder="1" applyAlignment="1" applyProtection="1">
      <alignment horizontal="center" vertical="center" wrapText="1"/>
    </xf>
    <xf numFmtId="0" fontId="14" fillId="7" borderId="29" xfId="0" applyFont="1" applyFill="1" applyBorder="1" applyAlignment="1" applyProtection="1">
      <alignment horizontal="center" vertical="center" wrapText="1"/>
    </xf>
    <xf numFmtId="0" fontId="13" fillId="7" borderId="29" xfId="1" applyFont="1" applyFill="1" applyBorder="1" applyAlignment="1" applyProtection="1">
      <alignment horizontal="center" vertical="center" wrapText="1"/>
    </xf>
    <xf numFmtId="0" fontId="13" fillId="3" borderId="28" xfId="0" applyFont="1" applyFill="1" applyBorder="1" applyAlignment="1" applyProtection="1">
      <alignment horizontal="center" vertical="center" wrapText="1"/>
      <protection locked="0"/>
    </xf>
    <xf numFmtId="0" fontId="13" fillId="3" borderId="26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3" fontId="14" fillId="0" borderId="19" xfId="0" applyNumberFormat="1" applyFont="1" applyBorder="1" applyProtection="1">
      <protection locked="0"/>
    </xf>
    <xf numFmtId="3" fontId="14" fillId="0" borderId="25" xfId="0" applyNumberFormat="1" applyFont="1" applyFill="1" applyBorder="1" applyProtection="1">
      <protection locked="0"/>
    </xf>
    <xf numFmtId="3" fontId="0" fillId="0" borderId="0" xfId="0" applyNumberFormat="1" applyBorder="1" applyProtection="1">
      <protection locked="0"/>
    </xf>
    <xf numFmtId="16" fontId="0" fillId="0" borderId="0" xfId="0" applyNumberFormat="1" applyProtection="1">
      <protection locked="0"/>
    </xf>
    <xf numFmtId="0" fontId="14" fillId="4" borderId="26" xfId="0" applyFont="1" applyFill="1" applyBorder="1" applyAlignment="1" applyProtection="1">
      <alignment horizontal="center" vertical="center" wrapText="1"/>
    </xf>
    <xf numFmtId="0" fontId="14" fillId="4" borderId="27" xfId="0" applyFont="1" applyFill="1" applyBorder="1" applyAlignment="1" applyProtection="1">
      <alignment horizontal="center" vertical="center" wrapText="1"/>
    </xf>
    <xf numFmtId="3" fontId="14" fillId="0" borderId="24" xfId="0" applyNumberFormat="1" applyFont="1" applyBorder="1" applyProtection="1"/>
    <xf numFmtId="0" fontId="15" fillId="0" borderId="0" xfId="0" applyFont="1" applyBorder="1" applyAlignment="1" applyProtection="1">
      <alignment wrapText="1"/>
    </xf>
    <xf numFmtId="0" fontId="14" fillId="2" borderId="1" xfId="0" applyFont="1" applyFill="1" applyBorder="1" applyAlignment="1" applyProtection="1">
      <alignment horizontal="center" vertical="center" wrapText="1"/>
    </xf>
    <xf numFmtId="0" fontId="14" fillId="8" borderId="28" xfId="0" applyFont="1" applyFill="1" applyBorder="1" applyAlignment="1" applyProtection="1">
      <alignment horizontal="center" vertical="center" wrapText="1"/>
    </xf>
    <xf numFmtId="3" fontId="14" fillId="0" borderId="0" xfId="0" applyNumberFormat="1" applyFont="1" applyProtection="1"/>
    <xf numFmtId="3" fontId="14" fillId="0" borderId="19" xfId="0" applyNumberFormat="1" applyFont="1" applyBorder="1" applyProtection="1"/>
    <xf numFmtId="3" fontId="14" fillId="0" borderId="20" xfId="0" applyNumberFormat="1" applyFont="1" applyBorder="1" applyProtection="1"/>
    <xf numFmtId="3" fontId="14" fillId="0" borderId="33" xfId="0" applyNumberFormat="1" applyFont="1" applyBorder="1" applyProtection="1"/>
    <xf numFmtId="3" fontId="15" fillId="0" borderId="25" xfId="0" applyNumberFormat="1" applyFont="1" applyBorder="1" applyProtection="1"/>
    <xf numFmtId="0" fontId="6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164" fontId="3" fillId="0" borderId="0" xfId="0" quotePrefix="1" applyNumberFormat="1" applyFont="1" applyAlignment="1" applyProtection="1">
      <alignment horizontal="left"/>
      <protection locked="0"/>
    </xf>
    <xf numFmtId="0" fontId="0" fillId="0" borderId="0" xfId="0" applyBorder="1" applyAlignment="1" applyProtection="1">
      <alignment horizontal="center"/>
      <protection locked="0"/>
    </xf>
    <xf numFmtId="3" fontId="0" fillId="0" borderId="0" xfId="0" applyNumberFormat="1" applyAlignment="1" applyProtection="1">
      <alignment horizontal="center"/>
      <protection locked="0"/>
    </xf>
    <xf numFmtId="3" fontId="0" fillId="0" borderId="0" xfId="0" applyNumberFormat="1" applyProtection="1"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Fill="1" applyProtection="1">
      <protection locked="0"/>
    </xf>
    <xf numFmtId="3" fontId="1" fillId="0" borderId="0" xfId="0" applyNumberFormat="1" applyFont="1" applyProtection="1">
      <protection locked="0"/>
    </xf>
    <xf numFmtId="0" fontId="1" fillId="0" borderId="0" xfId="0" applyFont="1" applyFill="1" applyBorder="1" applyAlignment="1" applyProtection="1">
      <alignment horizontal="center"/>
      <protection locked="0"/>
    </xf>
    <xf numFmtId="0" fontId="1" fillId="0" borderId="0" xfId="0" applyFont="1" applyFill="1" applyBorder="1" applyProtection="1"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0" fontId="8" fillId="0" borderId="0" xfId="0" applyFont="1" applyFill="1" applyProtection="1">
      <protection locked="0"/>
    </xf>
    <xf numFmtId="0" fontId="12" fillId="0" borderId="0" xfId="0" applyFont="1" applyFill="1" applyAlignment="1" applyProtection="1">
      <alignment horizontal="center"/>
      <protection locked="0"/>
    </xf>
    <xf numFmtId="0" fontId="12" fillId="0" borderId="0" xfId="0" applyFont="1" applyFill="1" applyProtection="1">
      <protection locked="0"/>
    </xf>
    <xf numFmtId="0" fontId="0" fillId="0" borderId="0" xfId="0" applyFill="1" applyBorder="1" applyProtection="1">
      <protection locked="0"/>
    </xf>
    <xf numFmtId="0" fontId="3" fillId="0" borderId="0" xfId="0" applyFont="1" applyFill="1" applyAlignment="1" applyProtection="1">
      <alignment horizontal="center"/>
      <protection locked="0"/>
    </xf>
    <xf numFmtId="164" fontId="3" fillId="0" borderId="0" xfId="0" quotePrefix="1" applyNumberFormat="1" applyFont="1" applyAlignment="1" applyProtection="1">
      <alignment horizontal="center"/>
      <protection locked="0"/>
    </xf>
    <xf numFmtId="0" fontId="2" fillId="0" borderId="0" xfId="0" applyFont="1" applyBorder="1" applyAlignment="1" applyProtection="1">
      <alignment vertical="center"/>
      <protection locked="0"/>
    </xf>
    <xf numFmtId="0" fontId="9" fillId="0" borderId="16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0" fillId="2" borderId="0" xfId="0" applyFill="1" applyProtection="1">
      <protection locked="0"/>
    </xf>
    <xf numFmtId="3" fontId="7" fillId="0" borderId="0" xfId="0" applyNumberFormat="1" applyFont="1" applyFill="1" applyBorder="1" applyProtection="1">
      <protection locked="0"/>
    </xf>
    <xf numFmtId="3" fontId="7" fillId="0" borderId="0" xfId="0" applyNumberFormat="1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Protection="1">
      <protection locked="0"/>
    </xf>
    <xf numFmtId="3" fontId="8" fillId="0" borderId="0" xfId="0" applyNumberFormat="1" applyFont="1" applyFill="1" applyBorder="1" applyAlignment="1" applyProtection="1">
      <alignment horizontal="center"/>
      <protection locked="0"/>
    </xf>
    <xf numFmtId="0" fontId="8" fillId="0" borderId="0" xfId="0" applyFont="1" applyFill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3" fontId="0" fillId="0" borderId="0" xfId="0" applyNumberFormat="1" applyFill="1" applyAlignment="1" applyProtection="1">
      <alignment horizontal="center"/>
      <protection locked="0"/>
    </xf>
    <xf numFmtId="0" fontId="6" fillId="0" borderId="0" xfId="0" applyFont="1" applyAlignment="1" applyProtection="1"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4" borderId="3" xfId="0" applyFon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/>
      <protection locked="0"/>
    </xf>
    <xf numFmtId="3" fontId="1" fillId="0" borderId="0" xfId="0" applyNumberFormat="1" applyFont="1" applyFill="1" applyBorder="1" applyAlignment="1" applyProtection="1">
      <alignment horizontal="center"/>
      <protection locked="0"/>
    </xf>
    <xf numFmtId="3" fontId="8" fillId="0" borderId="7" xfId="0" applyNumberFormat="1" applyFont="1" applyFill="1" applyBorder="1" applyAlignment="1" applyProtection="1">
      <alignment wrapText="1"/>
      <protection locked="0"/>
    </xf>
    <xf numFmtId="3" fontId="8" fillId="0" borderId="0" xfId="0" applyNumberFormat="1" applyFont="1" applyFill="1" applyProtection="1">
      <protection locked="0"/>
    </xf>
    <xf numFmtId="3" fontId="8" fillId="0" borderId="0" xfId="0" applyNumberFormat="1" applyFont="1" applyFill="1" applyBorder="1" applyProtection="1">
      <protection locked="0"/>
    </xf>
    <xf numFmtId="3" fontId="8" fillId="0" borderId="0" xfId="0" applyNumberFormat="1" applyFont="1" applyProtection="1">
      <protection locked="0"/>
    </xf>
    <xf numFmtId="3" fontId="8" fillId="0" borderId="0" xfId="0" applyNumberFormat="1" applyFont="1" applyBorder="1" applyProtection="1">
      <protection locked="0"/>
    </xf>
    <xf numFmtId="0" fontId="8" fillId="0" borderId="0" xfId="0" applyFont="1" applyProtection="1">
      <protection locked="0"/>
    </xf>
    <xf numFmtId="0" fontId="8" fillId="0" borderId="0" xfId="0" applyFont="1" applyBorder="1" applyProtection="1">
      <protection locked="0"/>
    </xf>
    <xf numFmtId="0" fontId="12" fillId="0" borderId="0" xfId="0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3" fillId="3" borderId="4" xfId="0" applyFont="1" applyFill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3" fontId="6" fillId="0" borderId="5" xfId="0" applyNumberFormat="1" applyFont="1" applyBorder="1" applyAlignment="1" applyProtection="1">
      <alignment horizontal="center" vertical="center"/>
      <protection locked="0"/>
    </xf>
    <xf numFmtId="3" fontId="2" fillId="0" borderId="5" xfId="0" applyNumberFormat="1" applyFont="1" applyBorder="1" applyAlignment="1" applyProtection="1">
      <alignment horizontal="center" vertical="center"/>
    </xf>
    <xf numFmtId="3" fontId="1" fillId="0" borderId="8" xfId="0" applyNumberFormat="1" applyFont="1" applyBorder="1" applyAlignment="1" applyProtection="1">
      <alignment horizontal="center" vertical="center"/>
      <protection locked="0"/>
    </xf>
    <xf numFmtId="3" fontId="1" fillId="0" borderId="14" xfId="0" applyNumberFormat="1" applyFont="1" applyBorder="1" applyAlignment="1" applyProtection="1">
      <alignment horizontal="center" vertical="center"/>
    </xf>
    <xf numFmtId="3" fontId="1" fillId="0" borderId="10" xfId="0" applyNumberFormat="1" applyFont="1" applyBorder="1" applyAlignment="1" applyProtection="1">
      <alignment horizontal="center" vertical="center"/>
    </xf>
    <xf numFmtId="3" fontId="1" fillId="4" borderId="15" xfId="0" applyNumberFormat="1" applyFont="1" applyFill="1" applyBorder="1" applyAlignment="1" applyProtection="1">
      <alignment horizontal="center" vertical="center"/>
    </xf>
    <xf numFmtId="3" fontId="1" fillId="3" borderId="15" xfId="0" applyNumberFormat="1" applyFont="1" applyFill="1" applyBorder="1" applyAlignment="1" applyProtection="1">
      <alignment horizontal="center" vertical="center"/>
    </xf>
    <xf numFmtId="3" fontId="1" fillId="0" borderId="11" xfId="0" applyNumberFormat="1" applyFont="1" applyBorder="1" applyAlignment="1" applyProtection="1">
      <alignment horizontal="center" vertical="center"/>
    </xf>
    <xf numFmtId="3" fontId="15" fillId="0" borderId="38" xfId="0" applyNumberFormat="1" applyFont="1" applyBorder="1" applyProtection="1"/>
    <xf numFmtId="0" fontId="15" fillId="0" borderId="40" xfId="0" applyFont="1" applyBorder="1" applyProtection="1"/>
    <xf numFmtId="3" fontId="15" fillId="0" borderId="40" xfId="0" applyNumberFormat="1" applyFont="1" applyBorder="1" applyProtection="1"/>
    <xf numFmtId="3" fontId="15" fillId="0" borderId="42" xfId="0" applyNumberFormat="1" applyFont="1" applyBorder="1" applyProtection="1"/>
    <xf numFmtId="3" fontId="15" fillId="0" borderId="44" xfId="0" applyNumberFormat="1" applyFont="1" applyBorder="1" applyProtection="1"/>
    <xf numFmtId="0" fontId="15" fillId="0" borderId="45" xfId="0" applyFont="1" applyBorder="1" applyProtection="1"/>
    <xf numFmtId="0" fontId="15" fillId="0" borderId="46" xfId="0" applyFont="1" applyBorder="1" applyProtection="1"/>
    <xf numFmtId="0" fontId="0" fillId="0" borderId="45" xfId="0" applyBorder="1" applyProtection="1"/>
    <xf numFmtId="0" fontId="0" fillId="0" borderId="46" xfId="0" applyBorder="1" applyProtection="1"/>
    <xf numFmtId="0" fontId="15" fillId="0" borderId="47" xfId="0" applyFont="1" applyBorder="1" applyProtection="1"/>
    <xf numFmtId="0" fontId="15" fillId="0" borderId="48" xfId="0" applyFont="1" applyBorder="1" applyProtection="1"/>
    <xf numFmtId="0" fontId="15" fillId="0" borderId="49" xfId="0" applyFont="1" applyBorder="1" applyProtection="1"/>
    <xf numFmtId="0" fontId="15" fillId="0" borderId="50" xfId="0" applyFont="1" applyBorder="1" applyProtection="1"/>
    <xf numFmtId="3" fontId="15" fillId="0" borderId="50" xfId="0" applyNumberFormat="1" applyFont="1" applyBorder="1" applyProtection="1"/>
    <xf numFmtId="3" fontId="15" fillId="0" borderId="51" xfId="0" applyNumberFormat="1" applyFont="1" applyBorder="1" applyProtection="1"/>
    <xf numFmtId="0" fontId="0" fillId="0" borderId="52" xfId="0" applyBorder="1" applyProtection="1"/>
    <xf numFmtId="0" fontId="15" fillId="0" borderId="46" xfId="0" applyFont="1" applyBorder="1" applyAlignment="1" applyProtection="1">
      <alignment horizontal="right" vertical="center" wrapText="1"/>
    </xf>
    <xf numFmtId="0" fontId="0" fillId="0" borderId="53" xfId="0" applyBorder="1" applyProtection="1">
      <protection locked="0"/>
    </xf>
    <xf numFmtId="0" fontId="15" fillId="0" borderId="54" xfId="0" applyFont="1" applyBorder="1" applyProtection="1">
      <protection locked="0"/>
    </xf>
    <xf numFmtId="0" fontId="0" fillId="0" borderId="38" xfId="0" applyBorder="1" applyProtection="1"/>
    <xf numFmtId="0" fontId="15" fillId="0" borderId="40" xfId="0" applyFont="1" applyBorder="1" applyAlignment="1" applyProtection="1">
      <alignment wrapText="1"/>
    </xf>
    <xf numFmtId="0" fontId="15" fillId="0" borderId="49" xfId="0" applyFont="1" applyBorder="1" applyAlignment="1" applyProtection="1">
      <alignment horizontal="right" vertical="center" wrapText="1"/>
      <protection locked="0"/>
    </xf>
    <xf numFmtId="0" fontId="15" fillId="0" borderId="50" xfId="0" applyFont="1" applyBorder="1" applyAlignment="1" applyProtection="1">
      <alignment horizontal="right" vertical="center" wrapText="1"/>
      <protection locked="0"/>
    </xf>
    <xf numFmtId="0" fontId="15" fillId="0" borderId="49" xfId="0" applyFont="1" applyBorder="1" applyAlignment="1" applyProtection="1">
      <alignment wrapText="1"/>
      <protection locked="0"/>
    </xf>
    <xf numFmtId="0" fontId="15" fillId="0" borderId="50" xfId="0" applyFont="1" applyBorder="1" applyAlignment="1" applyProtection="1">
      <alignment wrapText="1"/>
      <protection locked="0"/>
    </xf>
    <xf numFmtId="0" fontId="0" fillId="0" borderId="40" xfId="0" applyBorder="1" applyProtection="1"/>
    <xf numFmtId="0" fontId="5" fillId="0" borderId="50" xfId="1" applyFont="1" applyBorder="1" applyProtection="1"/>
    <xf numFmtId="0" fontId="15" fillId="0" borderId="38" xfId="0" applyFont="1" applyBorder="1" applyAlignment="1" applyProtection="1">
      <alignment wrapText="1"/>
    </xf>
    <xf numFmtId="0" fontId="15" fillId="0" borderId="39" xfId="0" applyFont="1" applyBorder="1" applyProtection="1">
      <protection locked="0"/>
    </xf>
    <xf numFmtId="0" fontId="5" fillId="0" borderId="52" xfId="1" applyBorder="1" applyProtection="1"/>
    <xf numFmtId="0" fontId="5" fillId="0" borderId="54" xfId="1" applyBorder="1" applyProtection="1"/>
    <xf numFmtId="9" fontId="5" fillId="0" borderId="45" xfId="1" applyNumberFormat="1" applyBorder="1" applyProtection="1"/>
    <xf numFmtId="0" fontId="5" fillId="0" borderId="55" xfId="1" applyBorder="1" applyProtection="1"/>
    <xf numFmtId="0" fontId="5" fillId="0" borderId="46" xfId="1" applyBorder="1" applyProtection="1"/>
    <xf numFmtId="0" fontId="5" fillId="0" borderId="45" xfId="1" applyBorder="1" applyProtection="1"/>
    <xf numFmtId="0" fontId="5" fillId="0" borderId="38" xfId="1" applyBorder="1" applyProtection="1"/>
    <xf numFmtId="0" fontId="5" fillId="0" borderId="50" xfId="1" applyBorder="1" applyProtection="1"/>
    <xf numFmtId="9" fontId="5" fillId="0" borderId="48" xfId="1" applyNumberFormat="1" applyBorder="1" applyProtection="1"/>
    <xf numFmtId="0" fontId="5" fillId="0" borderId="39" xfId="1" applyBorder="1" applyProtection="1"/>
    <xf numFmtId="0" fontId="5" fillId="0" borderId="40" xfId="1" applyBorder="1" applyProtection="1"/>
    <xf numFmtId="0" fontId="5" fillId="0" borderId="48" xfId="1" applyBorder="1" applyProtection="1"/>
    <xf numFmtId="0" fontId="5" fillId="0" borderId="49" xfId="1" applyBorder="1" applyProtection="1"/>
    <xf numFmtId="9" fontId="5" fillId="0" borderId="38" xfId="0" applyNumberFormat="1" applyFont="1" applyBorder="1" applyAlignment="1" applyProtection="1">
      <alignment horizontal="center"/>
    </xf>
    <xf numFmtId="9" fontId="5" fillId="0" borderId="50" xfId="1" applyNumberFormat="1" applyBorder="1" applyProtection="1"/>
    <xf numFmtId="3" fontId="5" fillId="0" borderId="50" xfId="1" applyNumberFormat="1" applyBorder="1" applyProtection="1"/>
    <xf numFmtId="3" fontId="5" fillId="0" borderId="38" xfId="1" applyNumberFormat="1" applyBorder="1" applyProtection="1"/>
    <xf numFmtId="0" fontId="5" fillId="0" borderId="42" xfId="1" applyBorder="1" applyProtection="1"/>
    <xf numFmtId="3" fontId="5" fillId="0" borderId="51" xfId="1" applyNumberFormat="1" applyBorder="1" applyProtection="1"/>
    <xf numFmtId="9" fontId="5" fillId="0" borderId="56" xfId="1" applyNumberFormat="1" applyBorder="1" applyProtection="1"/>
    <xf numFmtId="0" fontId="5" fillId="0" borderId="57" xfId="1" applyBorder="1" applyProtection="1"/>
    <xf numFmtId="9" fontId="5" fillId="0" borderId="44" xfId="0" applyNumberFormat="1" applyFont="1" applyBorder="1" applyAlignment="1" applyProtection="1">
      <alignment horizontal="center"/>
    </xf>
    <xf numFmtId="0" fontId="5" fillId="0" borderId="43" xfId="1" applyBorder="1" applyProtection="1"/>
    <xf numFmtId="0" fontId="5" fillId="0" borderId="51" xfId="1" applyBorder="1" applyProtection="1"/>
    <xf numFmtId="9" fontId="5" fillId="0" borderId="51" xfId="1" applyNumberFormat="1" applyBorder="1" applyProtection="1"/>
    <xf numFmtId="0" fontId="5" fillId="0" borderId="54" xfId="1" applyBorder="1" applyAlignment="1" applyProtection="1">
      <alignment horizontal="right"/>
    </xf>
    <xf numFmtId="0" fontId="5" fillId="0" borderId="55" xfId="1" applyBorder="1" applyProtection="1">
      <protection locked="0"/>
    </xf>
    <xf numFmtId="0" fontId="5" fillId="0" borderId="54" xfId="1" applyBorder="1" applyProtection="1">
      <protection locked="0"/>
    </xf>
    <xf numFmtId="0" fontId="5" fillId="0" borderId="50" xfId="1" applyBorder="1" applyAlignment="1" applyProtection="1">
      <alignment horizontal="right"/>
    </xf>
    <xf numFmtId="0" fontId="5" fillId="0" borderId="39" xfId="1" applyBorder="1" applyProtection="1">
      <protection locked="0"/>
    </xf>
    <xf numFmtId="0" fontId="5" fillId="0" borderId="50" xfId="1" applyBorder="1" applyProtection="1">
      <protection locked="0"/>
    </xf>
    <xf numFmtId="9" fontId="5" fillId="0" borderId="38" xfId="1" applyNumberFormat="1" applyBorder="1" applyProtection="1"/>
    <xf numFmtId="9" fontId="5" fillId="0" borderId="44" xfId="1" applyNumberFormat="1" applyBorder="1" applyProtection="1"/>
    <xf numFmtId="0" fontId="15" fillId="0" borderId="38" xfId="0" applyFont="1" applyBorder="1" applyProtection="1"/>
    <xf numFmtId="9" fontId="15" fillId="0" borderId="58" xfId="0" applyNumberFormat="1" applyFont="1" applyBorder="1" applyProtection="1"/>
    <xf numFmtId="0" fontId="15" fillId="0" borderId="49" xfId="0" applyFont="1" applyBorder="1" applyProtection="1">
      <protection locked="0"/>
    </xf>
    <xf numFmtId="0" fontId="15" fillId="0" borderId="50" xfId="0" applyFont="1" applyBorder="1" applyProtection="1">
      <protection locked="0"/>
    </xf>
    <xf numFmtId="0" fontId="15" fillId="0" borderId="54" xfId="0" applyFont="1" applyBorder="1" applyProtection="1"/>
    <xf numFmtId="9" fontId="5" fillId="0" borderId="58" xfId="0" applyNumberFormat="1" applyFont="1" applyBorder="1" applyAlignment="1" applyProtection="1">
      <alignment horizontal="center"/>
    </xf>
    <xf numFmtId="9" fontId="15" fillId="0" borderId="37" xfId="0" applyNumberFormat="1" applyFont="1" applyBorder="1" applyProtection="1"/>
    <xf numFmtId="9" fontId="5" fillId="0" borderId="48" xfId="0" applyNumberFormat="1" applyFont="1" applyBorder="1" applyAlignment="1" applyProtection="1">
      <alignment horizontal="center"/>
    </xf>
    <xf numFmtId="9" fontId="5" fillId="0" borderId="59" xfId="0" applyNumberFormat="1" applyFont="1" applyBorder="1" applyAlignment="1" applyProtection="1">
      <alignment horizontal="center"/>
    </xf>
    <xf numFmtId="16" fontId="1" fillId="0" borderId="61" xfId="0" applyNumberFormat="1" applyFont="1" applyBorder="1" applyAlignment="1" applyProtection="1">
      <alignment horizontal="center" vertical="center"/>
      <protection locked="0"/>
    </xf>
    <xf numFmtId="0" fontId="0" fillId="2" borderId="48" xfId="0" applyFill="1" applyBorder="1" applyAlignment="1" applyProtection="1">
      <alignment horizontal="center" vertical="center"/>
      <protection locked="0"/>
    </xf>
    <xf numFmtId="0" fontId="0" fillId="0" borderId="48" xfId="0" applyBorder="1" applyAlignment="1" applyProtection="1">
      <alignment horizontal="center" vertical="center"/>
      <protection locked="0"/>
    </xf>
    <xf numFmtId="0" fontId="0" fillId="0" borderId="49" xfId="0" applyBorder="1" applyAlignment="1" applyProtection="1">
      <alignment horizontal="center" vertical="center"/>
      <protection locked="0"/>
    </xf>
    <xf numFmtId="0" fontId="0" fillId="2" borderId="49" xfId="0" applyFill="1" applyBorder="1" applyAlignment="1" applyProtection="1">
      <alignment horizontal="center" vertical="center"/>
      <protection locked="0"/>
    </xf>
    <xf numFmtId="0" fontId="0" fillId="0" borderId="49" xfId="0" applyFill="1" applyBorder="1" applyAlignment="1" applyProtection="1">
      <alignment horizontal="center" vertical="center"/>
      <protection locked="0"/>
    </xf>
    <xf numFmtId="0" fontId="0" fillId="0" borderId="48" xfId="0" applyFill="1" applyBorder="1" applyAlignment="1" applyProtection="1">
      <alignment horizontal="center" vertical="center"/>
      <protection locked="0"/>
    </xf>
    <xf numFmtId="0" fontId="0" fillId="0" borderId="63" xfId="0" applyFont="1" applyFill="1" applyBorder="1" applyAlignment="1" applyProtection="1">
      <alignment horizontal="center"/>
      <protection locked="0"/>
    </xf>
    <xf numFmtId="0" fontId="0" fillId="0" borderId="48" xfId="0" applyFont="1" applyBorder="1" applyAlignment="1" applyProtection="1">
      <alignment horizontal="center"/>
      <protection locked="0"/>
    </xf>
    <xf numFmtId="0" fontId="0" fillId="0" borderId="49" xfId="0" applyFont="1" applyBorder="1" applyAlignment="1" applyProtection="1">
      <alignment horizontal="center"/>
      <protection locked="0"/>
    </xf>
    <xf numFmtId="0" fontId="0" fillId="2" borderId="63" xfId="0" applyFont="1" applyFill="1" applyBorder="1" applyAlignment="1" applyProtection="1">
      <alignment horizontal="center"/>
      <protection locked="0"/>
    </xf>
    <xf numFmtId="0" fontId="0" fillId="0" borderId="48" xfId="0" applyFont="1" applyFill="1" applyBorder="1" applyAlignment="1" applyProtection="1">
      <alignment horizontal="center"/>
      <protection locked="0"/>
    </xf>
    <xf numFmtId="0" fontId="0" fillId="2" borderId="48" xfId="0" applyFill="1" applyBorder="1" applyAlignment="1" applyProtection="1">
      <alignment horizontal="center"/>
      <protection locked="0"/>
    </xf>
    <xf numFmtId="0" fontId="0" fillId="0" borderId="48" xfId="0" applyFill="1" applyBorder="1" applyAlignment="1" applyProtection="1">
      <alignment horizontal="center"/>
      <protection locked="0"/>
    </xf>
    <xf numFmtId="0" fontId="0" fillId="0" borderId="49" xfId="0" applyFill="1" applyBorder="1" applyAlignment="1" applyProtection="1">
      <alignment horizontal="center"/>
      <protection locked="0"/>
    </xf>
    <xf numFmtId="0" fontId="0" fillId="0" borderId="48" xfId="0" applyBorder="1" applyAlignment="1" applyProtection="1">
      <alignment horizontal="center"/>
      <protection locked="0"/>
    </xf>
    <xf numFmtId="0" fontId="0" fillId="0" borderId="49" xfId="0" applyBorder="1" applyAlignment="1" applyProtection="1">
      <alignment horizontal="center"/>
      <protection locked="0"/>
    </xf>
    <xf numFmtId="0" fontId="0" fillId="2" borderId="49" xfId="0" applyFill="1" applyBorder="1" applyAlignment="1" applyProtection="1">
      <alignment horizontal="center"/>
      <protection locked="0"/>
    </xf>
    <xf numFmtId="0" fontId="0" fillId="0" borderId="65" xfId="0" applyFont="1" applyFill="1" applyBorder="1" applyAlignment="1" applyProtection="1">
      <alignment horizontal="center"/>
      <protection locked="0"/>
    </xf>
    <xf numFmtId="0" fontId="0" fillId="0" borderId="56" xfId="0" applyBorder="1" applyAlignment="1" applyProtection="1">
      <alignment horizontal="center"/>
      <protection locked="0"/>
    </xf>
    <xf numFmtId="0" fontId="0" fillId="0" borderId="57" xfId="0" applyBorder="1" applyAlignment="1" applyProtection="1">
      <alignment horizontal="center"/>
      <protection locked="0"/>
    </xf>
    <xf numFmtId="0" fontId="6" fillId="0" borderId="54" xfId="0" applyFont="1" applyBorder="1" applyAlignment="1" applyProtection="1">
      <alignment horizontal="center" vertical="center"/>
      <protection locked="0"/>
    </xf>
    <xf numFmtId="0" fontId="6" fillId="0" borderId="50" xfId="0" applyFont="1" applyBorder="1" applyAlignment="1" applyProtection="1">
      <alignment horizontal="center" vertical="center"/>
      <protection locked="0"/>
    </xf>
    <xf numFmtId="0" fontId="6" fillId="0" borderId="51" xfId="0" applyFont="1" applyBorder="1" applyAlignment="1" applyProtection="1">
      <alignment horizontal="center" vertical="center"/>
      <protection locked="0"/>
    </xf>
    <xf numFmtId="3" fontId="13" fillId="0" borderId="33" xfId="1" applyNumberFormat="1" applyFont="1" applyBorder="1" applyAlignment="1" applyProtection="1">
      <alignment horizontal="right"/>
    </xf>
    <xf numFmtId="3" fontId="13" fillId="0" borderId="33" xfId="1" applyNumberFormat="1" applyFont="1" applyBorder="1" applyProtection="1"/>
    <xf numFmtId="3" fontId="13" fillId="0" borderId="0" xfId="1" applyNumberFormat="1" applyFont="1" applyBorder="1" applyProtection="1">
      <protection locked="0"/>
    </xf>
    <xf numFmtId="0" fontId="13" fillId="0" borderId="0" xfId="1" applyFont="1" applyBorder="1" applyProtection="1">
      <protection locked="0"/>
    </xf>
    <xf numFmtId="0" fontId="13" fillId="0" borderId="0" xfId="1" applyFont="1" applyProtection="1">
      <protection locked="0"/>
    </xf>
    <xf numFmtId="0" fontId="13" fillId="0" borderId="0" xfId="1" applyFont="1" applyProtection="1"/>
    <xf numFmtId="0" fontId="0" fillId="2" borderId="69" xfId="0" applyFill="1" applyBorder="1" applyAlignment="1" applyProtection="1">
      <alignment horizontal="center" vertical="center"/>
      <protection locked="0"/>
    </xf>
    <xf numFmtId="0" fontId="0" fillId="2" borderId="61" xfId="0" applyFill="1" applyBorder="1" applyAlignment="1" applyProtection="1">
      <alignment horizontal="center" vertical="center"/>
      <protection locked="0"/>
    </xf>
    <xf numFmtId="0" fontId="0" fillId="2" borderId="71" xfId="0" applyFill="1" applyBorder="1" applyAlignment="1" applyProtection="1">
      <alignment horizontal="center" vertical="center"/>
      <protection locked="0"/>
    </xf>
    <xf numFmtId="0" fontId="0" fillId="2" borderId="66" xfId="0" applyFont="1" applyFill="1" applyBorder="1" applyAlignment="1" applyProtection="1">
      <alignment horizontal="center"/>
      <protection locked="0"/>
    </xf>
    <xf numFmtId="0" fontId="0" fillId="2" borderId="69" xfId="0" applyFill="1" applyBorder="1" applyAlignment="1" applyProtection="1">
      <alignment horizontal="center"/>
      <protection locked="0"/>
    </xf>
    <xf numFmtId="0" fontId="0" fillId="2" borderId="71" xfId="0" applyFill="1" applyBorder="1" applyAlignment="1" applyProtection="1">
      <alignment horizontal="center"/>
      <protection locked="0"/>
    </xf>
    <xf numFmtId="0" fontId="20" fillId="0" borderId="0" xfId="0" applyFont="1" applyFill="1" applyAlignment="1" applyProtection="1">
      <protection locked="0"/>
    </xf>
    <xf numFmtId="0" fontId="14" fillId="2" borderId="29" xfId="0" applyFont="1" applyFill="1" applyBorder="1" applyAlignment="1" applyProtection="1">
      <alignment horizontal="center" vertical="center" wrapText="1"/>
    </xf>
    <xf numFmtId="0" fontId="17" fillId="0" borderId="2" xfId="0" applyFont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3" fontId="15" fillId="0" borderId="49" xfId="0" applyNumberFormat="1" applyFont="1" applyBorder="1" applyAlignment="1" applyProtection="1">
      <alignment wrapText="1"/>
      <protection locked="0"/>
    </xf>
    <xf numFmtId="3" fontId="15" fillId="0" borderId="50" xfId="0" applyNumberFormat="1" applyFont="1" applyBorder="1" applyAlignment="1" applyProtection="1">
      <alignment wrapText="1"/>
      <protection locked="0"/>
    </xf>
    <xf numFmtId="3" fontId="15" fillId="0" borderId="49" xfId="0" applyNumberFormat="1" applyFont="1" applyBorder="1" applyProtection="1"/>
    <xf numFmtId="3" fontId="15" fillId="0" borderId="48" xfId="0" applyNumberFormat="1" applyFont="1" applyBorder="1" applyProtection="1"/>
    <xf numFmtId="3" fontId="15" fillId="0" borderId="39" xfId="0" applyNumberFormat="1" applyFont="1" applyBorder="1" applyProtection="1"/>
    <xf numFmtId="3" fontId="15" fillId="0" borderId="37" xfId="0" applyNumberFormat="1" applyFont="1" applyBorder="1" applyProtection="1"/>
    <xf numFmtId="3" fontId="15" fillId="0" borderId="43" xfId="0" applyNumberFormat="1" applyFont="1" applyFill="1" applyBorder="1" applyProtection="1"/>
    <xf numFmtId="3" fontId="15" fillId="0" borderId="41" xfId="0" applyNumberFormat="1" applyFont="1" applyBorder="1" applyProtection="1"/>
    <xf numFmtId="3" fontId="5" fillId="0" borderId="50" xfId="1" applyNumberFormat="1" applyFont="1" applyBorder="1" applyProtection="1"/>
    <xf numFmtId="3" fontId="15" fillId="0" borderId="38" xfId="0" applyNumberFormat="1" applyFont="1" applyBorder="1" applyAlignment="1" applyProtection="1">
      <alignment wrapText="1"/>
    </xf>
    <xf numFmtId="3" fontId="5" fillId="0" borderId="51" xfId="1" applyNumberFormat="1" applyFont="1" applyBorder="1" applyProtection="1"/>
    <xf numFmtId="3" fontId="15" fillId="0" borderId="44" xfId="0" applyNumberFormat="1" applyFont="1" applyBorder="1" applyAlignment="1" applyProtection="1">
      <alignment wrapText="1"/>
    </xf>
    <xf numFmtId="3" fontId="15" fillId="0" borderId="49" xfId="0" applyNumberFormat="1" applyFont="1" applyBorder="1" applyProtection="1">
      <protection locked="0"/>
    </xf>
    <xf numFmtId="3" fontId="15" fillId="0" borderId="50" xfId="0" applyNumberFormat="1" applyFont="1" applyBorder="1" applyProtection="1">
      <protection locked="0"/>
    </xf>
    <xf numFmtId="3" fontId="5" fillId="0" borderId="49" xfId="1" applyNumberFormat="1" applyBorder="1" applyProtection="1"/>
    <xf numFmtId="3" fontId="5" fillId="0" borderId="57" xfId="1" applyNumberFormat="1" applyBorder="1" applyProtection="1"/>
    <xf numFmtId="3" fontId="4" fillId="0" borderId="54" xfId="0" applyNumberFormat="1" applyFont="1" applyBorder="1" applyAlignment="1" applyProtection="1">
      <alignment horizontal="center" vertical="center"/>
    </xf>
    <xf numFmtId="3" fontId="4" fillId="0" borderId="50" xfId="0" applyNumberFormat="1" applyFont="1" applyBorder="1" applyAlignment="1" applyProtection="1">
      <alignment horizontal="center" vertical="center"/>
    </xf>
    <xf numFmtId="3" fontId="4" fillId="0" borderId="51" xfId="0" applyNumberFormat="1" applyFont="1" applyBorder="1" applyAlignment="1" applyProtection="1">
      <alignment horizontal="center" vertical="center"/>
    </xf>
    <xf numFmtId="3" fontId="15" fillId="0" borderId="39" xfId="0" applyNumberFormat="1" applyFont="1" applyBorder="1" applyAlignment="1" applyProtection="1">
      <alignment wrapText="1"/>
      <protection locked="0"/>
    </xf>
    <xf numFmtId="3" fontId="15" fillId="0" borderId="73" xfId="0" applyNumberFormat="1" applyFont="1" applyBorder="1" applyProtection="1"/>
    <xf numFmtId="9" fontId="15" fillId="0" borderId="74" xfId="0" applyNumberFormat="1" applyFont="1" applyBorder="1" applyProtection="1"/>
    <xf numFmtId="0" fontId="15" fillId="0" borderId="87" xfId="0" applyFont="1" applyBorder="1" applyProtection="1"/>
    <xf numFmtId="3" fontId="15" fillId="0" borderId="86" xfId="0" applyNumberFormat="1" applyFont="1" applyBorder="1" applyProtection="1"/>
    <xf numFmtId="0" fontId="15" fillId="0" borderId="82" xfId="0" applyFont="1" applyBorder="1" applyProtection="1">
      <protection locked="0"/>
    </xf>
    <xf numFmtId="0" fontId="15" fillId="0" borderId="85" xfId="0" applyFont="1" applyBorder="1" applyProtection="1">
      <protection locked="0"/>
    </xf>
    <xf numFmtId="3" fontId="15" fillId="0" borderId="79" xfId="0" applyNumberFormat="1" applyFont="1" applyBorder="1" applyProtection="1"/>
    <xf numFmtId="0" fontId="15" fillId="0" borderId="88" xfId="0" applyFont="1" applyBorder="1" applyProtection="1">
      <protection locked="0"/>
    </xf>
    <xf numFmtId="0" fontId="15" fillId="0" borderId="26" xfId="0" applyFont="1" applyBorder="1" applyProtection="1">
      <protection locked="0"/>
    </xf>
    <xf numFmtId="9" fontId="15" fillId="0" borderId="89" xfId="0" applyNumberFormat="1" applyFont="1" applyBorder="1" applyProtection="1"/>
    <xf numFmtId="3" fontId="15" fillId="0" borderId="88" xfId="0" applyNumberFormat="1" applyFont="1" applyBorder="1" applyProtection="1">
      <protection locked="0"/>
    </xf>
    <xf numFmtId="3" fontId="15" fillId="0" borderId="85" xfId="0" applyNumberFormat="1" applyFont="1" applyBorder="1" applyProtection="1">
      <protection locked="0"/>
    </xf>
    <xf numFmtId="3" fontId="5" fillId="0" borderId="72" xfId="1" applyNumberFormat="1" applyBorder="1" applyProtection="1"/>
    <xf numFmtId="3" fontId="5" fillId="0" borderId="76" xfId="1" applyNumberFormat="1" applyBorder="1" applyProtection="1"/>
    <xf numFmtId="9" fontId="5" fillId="0" borderId="77" xfId="0" applyNumberFormat="1" applyFont="1" applyBorder="1" applyAlignment="1" applyProtection="1">
      <alignment horizontal="center"/>
    </xf>
    <xf numFmtId="3" fontId="15" fillId="0" borderId="71" xfId="0" applyNumberFormat="1" applyFont="1" applyBorder="1" applyProtection="1"/>
    <xf numFmtId="0" fontId="15" fillId="0" borderId="90" xfId="0" applyFont="1" applyBorder="1" applyProtection="1">
      <protection locked="0"/>
    </xf>
    <xf numFmtId="9" fontId="15" fillId="0" borderId="91" xfId="0" applyNumberFormat="1" applyFont="1" applyBorder="1" applyProtection="1"/>
    <xf numFmtId="3" fontId="15" fillId="0" borderId="85" xfId="0" applyNumberFormat="1" applyFont="1" applyBorder="1" applyProtection="1"/>
    <xf numFmtId="9" fontId="15" fillId="0" borderId="92" xfId="0" applyNumberFormat="1" applyFont="1" applyBorder="1" applyProtection="1"/>
    <xf numFmtId="3" fontId="15" fillId="0" borderId="82" xfId="0" applyNumberFormat="1" applyFont="1" applyBorder="1" applyProtection="1">
      <protection locked="0"/>
    </xf>
    <xf numFmtId="3" fontId="15" fillId="0" borderId="26" xfId="0" applyNumberFormat="1" applyFont="1" applyBorder="1" applyProtection="1">
      <protection locked="0"/>
    </xf>
    <xf numFmtId="0" fontId="24" fillId="0" borderId="0" xfId="0" applyFont="1" applyFill="1" applyBorder="1" applyAlignment="1" applyProtection="1">
      <alignment horizontal="center"/>
      <protection locked="0"/>
    </xf>
    <xf numFmtId="0" fontId="24" fillId="0" borderId="0" xfId="0" applyFont="1" applyFill="1" applyAlignment="1" applyProtection="1">
      <alignment horizontal="center"/>
      <protection locked="0"/>
    </xf>
    <xf numFmtId="3" fontId="24" fillId="0" borderId="0" xfId="0" applyNumberFormat="1" applyFont="1" applyFill="1" applyAlignment="1" applyProtection="1">
      <alignment horizontal="center"/>
      <protection locked="0"/>
    </xf>
    <xf numFmtId="0" fontId="24" fillId="0" borderId="0" xfId="0" applyFont="1" applyFill="1" applyProtection="1">
      <protection locked="0"/>
    </xf>
    <xf numFmtId="3" fontId="25" fillId="0" borderId="0" xfId="0" applyNumberFormat="1" applyFont="1" applyProtection="1">
      <protection locked="0"/>
    </xf>
    <xf numFmtId="0" fontId="25" fillId="0" borderId="0" xfId="0" applyFont="1" applyProtection="1">
      <protection locked="0"/>
    </xf>
    <xf numFmtId="3" fontId="1" fillId="3" borderId="22" xfId="0" applyNumberFormat="1" applyFont="1" applyFill="1" applyBorder="1" applyAlignment="1" applyProtection="1">
      <alignment horizontal="center" vertical="center"/>
    </xf>
    <xf numFmtId="3" fontId="15" fillId="0" borderId="39" xfId="0" applyNumberFormat="1" applyFont="1" applyBorder="1" applyProtection="1">
      <protection locked="0"/>
    </xf>
    <xf numFmtId="3" fontId="15" fillId="0" borderId="43" xfId="0" applyNumberFormat="1" applyFont="1" applyBorder="1" applyProtection="1">
      <protection locked="0"/>
    </xf>
    <xf numFmtId="0" fontId="12" fillId="0" borderId="0" xfId="0" applyFont="1" applyAlignment="1" applyProtection="1">
      <alignment horizontal="center"/>
      <protection locked="0"/>
    </xf>
    <xf numFmtId="9" fontId="13" fillId="0" borderId="0" xfId="1" applyNumberFormat="1" applyFont="1" applyProtection="1">
      <protection locked="0"/>
    </xf>
    <xf numFmtId="164" fontId="3" fillId="0" borderId="0" xfId="0" quotePrefix="1" applyNumberFormat="1" applyFont="1" applyAlignment="1" applyProtection="1">
      <alignment horizontal="center"/>
      <protection locked="0"/>
    </xf>
    <xf numFmtId="9" fontId="15" fillId="0" borderId="48" xfId="0" applyNumberFormat="1" applyFont="1" applyBorder="1" applyProtection="1"/>
    <xf numFmtId="9" fontId="15" fillId="0" borderId="42" xfId="0" applyNumberFormat="1" applyFont="1" applyBorder="1" applyProtection="1"/>
    <xf numFmtId="3" fontId="15" fillId="0" borderId="71" xfId="0" applyNumberFormat="1" applyFont="1" applyBorder="1" applyProtection="1">
      <protection locked="0"/>
    </xf>
    <xf numFmtId="0" fontId="0" fillId="0" borderId="94" xfId="0" applyBorder="1" applyProtection="1">
      <protection locked="0"/>
    </xf>
    <xf numFmtId="0" fontId="0" fillId="0" borderId="95" xfId="0" applyBorder="1" applyProtection="1">
      <protection locked="0"/>
    </xf>
    <xf numFmtId="3" fontId="15" fillId="0" borderId="60" xfId="0" applyNumberFormat="1" applyFont="1" applyBorder="1" applyProtection="1">
      <protection locked="0"/>
    </xf>
    <xf numFmtId="3" fontId="14" fillId="0" borderId="12" xfId="0" applyNumberFormat="1" applyFont="1" applyBorder="1" applyProtection="1">
      <protection locked="0"/>
    </xf>
    <xf numFmtId="3" fontId="5" fillId="0" borderId="39" xfId="1" applyNumberFormat="1" applyBorder="1" applyProtection="1">
      <protection locked="0"/>
    </xf>
    <xf numFmtId="3" fontId="5" fillId="0" borderId="50" xfId="1" applyNumberFormat="1" applyBorder="1" applyProtection="1">
      <protection locked="0"/>
    </xf>
    <xf numFmtId="3" fontId="5" fillId="0" borderId="43" xfId="1" applyNumberFormat="1" applyBorder="1" applyProtection="1">
      <protection locked="0"/>
    </xf>
    <xf numFmtId="3" fontId="5" fillId="0" borderId="50" xfId="1" applyNumberFormat="1" applyBorder="1" applyAlignment="1" applyProtection="1">
      <alignment horizontal="right"/>
    </xf>
    <xf numFmtId="3" fontId="5" fillId="0" borderId="51" xfId="1" applyNumberFormat="1" applyBorder="1" applyAlignment="1" applyProtection="1">
      <alignment horizontal="right"/>
    </xf>
    <xf numFmtId="3" fontId="5" fillId="0" borderId="51" xfId="1" applyNumberFormat="1" applyBorder="1" applyProtection="1">
      <protection locked="0"/>
    </xf>
    <xf numFmtId="9" fontId="5" fillId="0" borderId="0" xfId="1" applyNumberFormat="1" applyProtection="1">
      <protection locked="0"/>
    </xf>
    <xf numFmtId="3" fontId="12" fillId="0" borderId="0" xfId="0" applyNumberFormat="1" applyFont="1" applyAlignment="1" applyProtection="1">
      <alignment horizontal="center"/>
      <protection locked="0"/>
    </xf>
    <xf numFmtId="0" fontId="20" fillId="0" borderId="0" xfId="0" applyFont="1" applyFill="1" applyAlignment="1" applyProtection="1">
      <alignment horizontal="left"/>
      <protection locked="0"/>
    </xf>
    <xf numFmtId="0" fontId="0" fillId="0" borderId="66" xfId="0" applyFont="1" applyFill="1" applyBorder="1" applyAlignment="1" applyProtection="1">
      <alignment horizontal="center"/>
      <protection locked="0"/>
    </xf>
    <xf numFmtId="0" fontId="0" fillId="0" borderId="69" xfId="0" applyBorder="1" applyAlignment="1" applyProtection="1">
      <alignment horizontal="center"/>
      <protection locked="0"/>
    </xf>
    <xf numFmtId="0" fontId="0" fillId="0" borderId="71" xfId="0" applyBorder="1" applyAlignment="1" applyProtection="1">
      <alignment horizontal="center"/>
      <protection locked="0"/>
    </xf>
    <xf numFmtId="0" fontId="0" fillId="0" borderId="61" xfId="0" applyFill="1" applyBorder="1" applyAlignment="1" applyProtection="1">
      <alignment horizontal="center" vertical="center"/>
      <protection locked="0"/>
    </xf>
    <xf numFmtId="0" fontId="0" fillId="0" borderId="72" xfId="0" applyFill="1" applyBorder="1" applyAlignment="1" applyProtection="1">
      <alignment horizontal="center" vertical="center"/>
      <protection locked="0"/>
    </xf>
    <xf numFmtId="16" fontId="1" fillId="2" borderId="96" xfId="0" applyNumberFormat="1" applyFont="1" applyFill="1" applyBorder="1" applyAlignment="1" applyProtection="1">
      <alignment horizontal="center" vertical="center"/>
      <protection locked="0"/>
    </xf>
    <xf numFmtId="16" fontId="1" fillId="0" borderId="96" xfId="0" applyNumberFormat="1" applyFont="1" applyFill="1" applyBorder="1" applyAlignment="1" applyProtection="1">
      <alignment horizontal="center" vertical="center"/>
      <protection locked="0"/>
    </xf>
    <xf numFmtId="0" fontId="0" fillId="0" borderId="61" xfId="0" applyFont="1" applyFill="1" applyBorder="1" applyAlignment="1" applyProtection="1">
      <alignment horizontal="center"/>
      <protection locked="0"/>
    </xf>
    <xf numFmtId="0" fontId="0" fillId="2" borderId="48" xfId="0" applyFont="1" applyFill="1" applyBorder="1" applyAlignment="1" applyProtection="1">
      <alignment horizontal="center"/>
      <protection locked="0"/>
    </xf>
    <xf numFmtId="0" fontId="0" fillId="2" borderId="49" xfId="0" applyFont="1" applyFill="1" applyBorder="1" applyAlignment="1" applyProtection="1">
      <alignment horizontal="center"/>
      <protection locked="0"/>
    </xf>
    <xf numFmtId="0" fontId="0" fillId="0" borderId="61" xfId="0" applyFill="1" applyBorder="1" applyAlignment="1" applyProtection="1">
      <alignment horizontal="center"/>
      <protection locked="0"/>
    </xf>
    <xf numFmtId="0" fontId="11" fillId="0" borderId="99" xfId="0" applyFont="1" applyFill="1" applyBorder="1" applyAlignment="1" applyProtection="1">
      <alignment horizontal="center"/>
      <protection locked="0"/>
    </xf>
    <xf numFmtId="0" fontId="11" fillId="0" borderId="98" xfId="0" applyFont="1" applyFill="1" applyBorder="1" applyAlignment="1" applyProtection="1">
      <alignment horizontal="center"/>
      <protection locked="0"/>
    </xf>
    <xf numFmtId="0" fontId="11" fillId="0" borderId="100" xfId="0" applyFont="1" applyFill="1" applyBorder="1" applyAlignment="1" applyProtection="1">
      <alignment horizontal="center"/>
      <protection locked="0"/>
    </xf>
    <xf numFmtId="0" fontId="11" fillId="0" borderId="102" xfId="0" applyFont="1" applyFill="1" applyBorder="1" applyAlignment="1" applyProtection="1">
      <alignment horizontal="center"/>
      <protection locked="0"/>
    </xf>
    <xf numFmtId="0" fontId="11" fillId="0" borderId="101" xfId="0" applyFont="1" applyFill="1" applyBorder="1" applyAlignment="1" applyProtection="1">
      <alignment horizontal="center"/>
      <protection locked="0"/>
    </xf>
    <xf numFmtId="0" fontId="11" fillId="0" borderId="103" xfId="0" applyFont="1" applyFill="1" applyBorder="1" applyAlignment="1" applyProtection="1">
      <alignment horizontal="center"/>
      <protection locked="0"/>
    </xf>
    <xf numFmtId="0" fontId="0" fillId="0" borderId="105" xfId="0" applyFont="1" applyFill="1" applyBorder="1" applyAlignment="1" applyProtection="1">
      <alignment horizontal="center"/>
      <protection locked="0"/>
    </xf>
    <xf numFmtId="0" fontId="0" fillId="0" borderId="104" xfId="0" applyFill="1" applyBorder="1" applyAlignment="1" applyProtection="1">
      <alignment horizontal="center"/>
      <protection locked="0"/>
    </xf>
    <xf numFmtId="0" fontId="0" fillId="0" borderId="106" xfId="0" applyFill="1" applyBorder="1" applyAlignment="1" applyProtection="1">
      <alignment horizontal="center"/>
      <protection locked="0"/>
    </xf>
    <xf numFmtId="0" fontId="0" fillId="0" borderId="108" xfId="0" applyFont="1" applyFill="1" applyBorder="1" applyAlignment="1" applyProtection="1">
      <alignment horizontal="center"/>
      <protection locked="0"/>
    </xf>
    <xf numFmtId="0" fontId="0" fillId="0" borderId="107" xfId="0" applyFont="1" applyFill="1" applyBorder="1" applyAlignment="1" applyProtection="1">
      <alignment horizontal="center"/>
      <protection locked="0"/>
    </xf>
    <xf numFmtId="0" fontId="0" fillId="0" borderId="109" xfId="0" applyFont="1" applyFill="1" applyBorder="1" applyAlignment="1" applyProtection="1">
      <alignment horizontal="center"/>
      <protection locked="0"/>
    </xf>
    <xf numFmtId="0" fontId="0" fillId="0" borderId="111" xfId="0" applyFont="1" applyFill="1" applyBorder="1" applyAlignment="1" applyProtection="1">
      <alignment horizontal="center"/>
      <protection locked="0"/>
    </xf>
    <xf numFmtId="0" fontId="0" fillId="0" borderId="110" xfId="0" applyFont="1" applyFill="1" applyBorder="1" applyAlignment="1" applyProtection="1">
      <alignment horizontal="center"/>
      <protection locked="0"/>
    </xf>
    <xf numFmtId="0" fontId="0" fillId="0" borderId="112" xfId="0" applyFont="1" applyFill="1" applyBorder="1" applyAlignment="1" applyProtection="1">
      <alignment horizontal="center"/>
      <protection locked="0"/>
    </xf>
    <xf numFmtId="0" fontId="0" fillId="0" borderId="107" xfId="0" applyFill="1" applyBorder="1" applyAlignment="1" applyProtection="1">
      <alignment horizontal="center"/>
      <protection locked="0"/>
    </xf>
    <xf numFmtId="0" fontId="0" fillId="0" borderId="109" xfId="0" applyFill="1" applyBorder="1" applyAlignment="1" applyProtection="1">
      <alignment horizontal="center"/>
      <protection locked="0"/>
    </xf>
    <xf numFmtId="0" fontId="0" fillId="0" borderId="110" xfId="0" applyFill="1" applyBorder="1" applyAlignment="1" applyProtection="1">
      <alignment horizontal="center"/>
      <protection locked="0"/>
    </xf>
    <xf numFmtId="0" fontId="0" fillId="0" borderId="112" xfId="0" applyFill="1" applyBorder="1" applyAlignment="1" applyProtection="1">
      <alignment horizontal="center"/>
      <protection locked="0"/>
    </xf>
    <xf numFmtId="0" fontId="0" fillId="0" borderId="49" xfId="0" applyFont="1" applyFill="1" applyBorder="1" applyAlignment="1" applyProtection="1">
      <alignment horizontal="center"/>
      <protection locked="0"/>
    </xf>
    <xf numFmtId="0" fontId="11" fillId="0" borderId="48" xfId="0" applyFont="1" applyFill="1" applyBorder="1" applyAlignment="1" applyProtection="1">
      <alignment horizontal="center"/>
      <protection locked="0"/>
    </xf>
    <xf numFmtId="16" fontId="1" fillId="2" borderId="61" xfId="0" applyNumberFormat="1" applyFont="1" applyFill="1" applyBorder="1" applyAlignment="1" applyProtection="1">
      <alignment horizontal="center" vertical="center"/>
      <protection locked="0"/>
    </xf>
    <xf numFmtId="16" fontId="1" fillId="0" borderId="64" xfId="0" applyNumberFormat="1" applyFont="1" applyBorder="1" applyAlignment="1" applyProtection="1">
      <alignment horizontal="center" vertical="center"/>
      <protection locked="0"/>
    </xf>
    <xf numFmtId="3" fontId="1" fillId="5" borderId="8" xfId="0" applyNumberFormat="1" applyFont="1" applyFill="1" applyBorder="1" applyAlignment="1" applyProtection="1">
      <alignment horizontal="center" vertical="center"/>
      <protection locked="0"/>
    </xf>
    <xf numFmtId="3" fontId="1" fillId="5" borderId="14" xfId="0" applyNumberFormat="1" applyFont="1" applyFill="1" applyBorder="1" applyAlignment="1" applyProtection="1">
      <alignment horizontal="center" vertical="center"/>
    </xf>
    <xf numFmtId="3" fontId="1" fillId="5" borderId="10" xfId="0" applyNumberFormat="1" applyFont="1" applyFill="1" applyBorder="1" applyAlignment="1" applyProtection="1">
      <alignment horizontal="center" vertical="center"/>
    </xf>
    <xf numFmtId="3" fontId="1" fillId="0" borderId="0" xfId="0" applyNumberFormat="1" applyFont="1" applyFill="1" applyBorder="1" applyAlignment="1" applyProtection="1">
      <alignment vertical="center"/>
      <protection locked="0"/>
    </xf>
    <xf numFmtId="3" fontId="1" fillId="5" borderId="0" xfId="0" applyNumberFormat="1" applyFont="1" applyFill="1" applyBorder="1" applyAlignment="1" applyProtection="1">
      <alignment vertical="center"/>
      <protection locked="0"/>
    </xf>
    <xf numFmtId="3" fontId="1" fillId="5" borderId="0" xfId="0" applyNumberFormat="1" applyFont="1" applyFill="1" applyAlignment="1" applyProtection="1">
      <alignment vertical="center"/>
      <protection locked="0"/>
    </xf>
    <xf numFmtId="0" fontId="0" fillId="0" borderId="115" xfId="0" applyFont="1" applyFill="1" applyBorder="1" applyAlignment="1" applyProtection="1">
      <alignment horizontal="center"/>
      <protection locked="0"/>
    </xf>
    <xf numFmtId="0" fontId="0" fillId="0" borderId="0" xfId="0" applyFont="1" applyFill="1" applyBorder="1" applyAlignment="1" applyProtection="1">
      <alignment horizontal="center"/>
      <protection locked="0"/>
    </xf>
    <xf numFmtId="0" fontId="0" fillId="0" borderId="19" xfId="0" applyFont="1" applyFill="1" applyBorder="1" applyAlignment="1" applyProtection="1">
      <alignment horizontal="center"/>
      <protection locked="0"/>
    </xf>
    <xf numFmtId="16" fontId="1" fillId="0" borderId="61" xfId="0" applyNumberFormat="1" applyFont="1" applyFill="1" applyBorder="1" applyAlignment="1" applyProtection="1">
      <alignment horizontal="center" vertical="center"/>
      <protection locked="0"/>
    </xf>
    <xf numFmtId="3" fontId="12" fillId="0" borderId="0" xfId="0" applyNumberFormat="1" applyFont="1" applyProtection="1">
      <protection locked="0"/>
    </xf>
    <xf numFmtId="3" fontId="24" fillId="0" borderId="0" xfId="0" applyNumberFormat="1" applyFont="1" applyFill="1" applyProtection="1">
      <protection locked="0"/>
    </xf>
    <xf numFmtId="9" fontId="2" fillId="0" borderId="118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" fillId="3" borderId="21" xfId="0" applyFont="1" applyFill="1" applyBorder="1" applyAlignment="1" applyProtection="1">
      <alignment horizontal="center" vertical="center"/>
      <protection locked="0"/>
    </xf>
    <xf numFmtId="16" fontId="1" fillId="0" borderId="97" xfId="0" applyNumberFormat="1" applyFont="1" applyFill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45" xfId="0" applyBorder="1" applyAlignment="1" applyProtection="1">
      <alignment horizontal="center" vertical="center"/>
      <protection locked="0"/>
    </xf>
    <xf numFmtId="0" fontId="0" fillId="2" borderId="120" xfId="0" applyFill="1" applyBorder="1" applyAlignment="1" applyProtection="1">
      <alignment horizontal="center" vertical="center"/>
      <protection locked="0"/>
    </xf>
    <xf numFmtId="0" fontId="0" fillId="2" borderId="121" xfId="0" applyFill="1" applyBorder="1" applyAlignment="1" applyProtection="1">
      <alignment horizontal="center" vertical="center"/>
      <protection locked="0"/>
    </xf>
    <xf numFmtId="0" fontId="0" fillId="0" borderId="122" xfId="0" applyFill="1" applyBorder="1" applyAlignment="1" applyProtection="1">
      <alignment horizontal="center" vertical="center"/>
      <protection locked="0"/>
    </xf>
    <xf numFmtId="0" fontId="0" fillId="0" borderId="120" xfId="0" applyBorder="1" applyAlignment="1" applyProtection="1">
      <alignment horizontal="center" vertical="center"/>
      <protection locked="0"/>
    </xf>
    <xf numFmtId="16" fontId="1" fillId="0" borderId="46" xfId="0" applyNumberFormat="1" applyFont="1" applyFill="1" applyBorder="1" applyAlignment="1" applyProtection="1">
      <alignment horizontal="center" vertical="center"/>
      <protection locked="0"/>
    </xf>
    <xf numFmtId="16" fontId="1" fillId="0" borderId="40" xfId="0" applyNumberFormat="1" applyFont="1" applyFill="1" applyBorder="1" applyAlignment="1" applyProtection="1">
      <alignment horizontal="center" vertical="center"/>
      <protection locked="0"/>
    </xf>
    <xf numFmtId="3" fontId="1" fillId="0" borderId="124" xfId="0" applyNumberFormat="1" applyFont="1" applyBorder="1" applyAlignment="1" applyProtection="1">
      <alignment horizontal="center" vertical="center"/>
      <protection locked="0"/>
    </xf>
    <xf numFmtId="0" fontId="0" fillId="2" borderId="45" xfId="0" applyFill="1" applyBorder="1" applyAlignment="1" applyProtection="1">
      <alignment horizontal="center" vertical="center"/>
      <protection locked="0"/>
    </xf>
    <xf numFmtId="0" fontId="27" fillId="0" borderId="0" xfId="0" applyFont="1" applyFill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vertical="center"/>
      <protection locked="0"/>
    </xf>
    <xf numFmtId="0" fontId="6" fillId="0" borderId="73" xfId="0" applyFont="1" applyBorder="1" applyAlignment="1" applyProtection="1">
      <alignment horizontal="center" vertical="center"/>
      <protection locked="0"/>
    </xf>
    <xf numFmtId="3" fontId="4" fillId="0" borderId="73" xfId="0" applyNumberFormat="1" applyFont="1" applyBorder="1" applyAlignment="1" applyProtection="1">
      <alignment horizontal="center" vertical="center"/>
    </xf>
    <xf numFmtId="3" fontId="4" fillId="0" borderId="86" xfId="0" applyNumberFormat="1" applyFont="1" applyBorder="1" applyAlignment="1" applyProtection="1">
      <alignment horizontal="center" vertical="center"/>
    </xf>
    <xf numFmtId="16" fontId="1" fillId="0" borderId="126" xfId="0" applyNumberFormat="1" applyFont="1" applyFill="1" applyBorder="1" applyAlignment="1" applyProtection="1">
      <alignment horizontal="center" vertical="center"/>
      <protection locked="0"/>
    </xf>
    <xf numFmtId="0" fontId="0" fillId="0" borderId="127" xfId="0" applyFont="1" applyFill="1" applyBorder="1" applyAlignment="1" applyProtection="1">
      <alignment horizontal="center"/>
      <protection locked="0"/>
    </xf>
    <xf numFmtId="0" fontId="0" fillId="0" borderId="128" xfId="0" applyFont="1" applyFill="1" applyBorder="1" applyAlignment="1" applyProtection="1">
      <alignment horizontal="center"/>
      <protection locked="0"/>
    </xf>
    <xf numFmtId="0" fontId="0" fillId="0" borderId="129" xfId="0" applyFont="1" applyFill="1" applyBorder="1" applyAlignment="1" applyProtection="1">
      <alignment horizontal="center"/>
      <protection locked="0"/>
    </xf>
    <xf numFmtId="16" fontId="1" fillId="0" borderId="84" xfId="0" applyNumberFormat="1" applyFont="1" applyBorder="1" applyAlignment="1" applyProtection="1">
      <alignment horizontal="center" vertical="center"/>
      <protection locked="0"/>
    </xf>
    <xf numFmtId="0" fontId="9" fillId="0" borderId="131" xfId="0" applyFont="1" applyFill="1" applyBorder="1" applyAlignment="1" applyProtection="1">
      <alignment horizontal="center" vertical="center" wrapText="1"/>
      <protection locked="0"/>
    </xf>
    <xf numFmtId="0" fontId="1" fillId="0" borderId="84" xfId="0" applyFont="1" applyBorder="1" applyAlignment="1" applyProtection="1">
      <alignment horizontal="center" vertical="center"/>
      <protection locked="0"/>
    </xf>
    <xf numFmtId="0" fontId="1" fillId="0" borderId="84" xfId="0" applyFont="1" applyBorder="1" applyAlignment="1" applyProtection="1">
      <alignment horizontal="center" vertical="center" wrapText="1"/>
      <protection locked="0"/>
    </xf>
    <xf numFmtId="16" fontId="1" fillId="0" borderId="101" xfId="0" applyNumberFormat="1" applyFont="1" applyBorder="1" applyAlignment="1" applyProtection="1">
      <alignment horizontal="center" vertical="center"/>
      <protection locked="0"/>
    </xf>
    <xf numFmtId="0" fontId="9" fillId="0" borderId="102" xfId="0" applyFont="1" applyFill="1" applyBorder="1" applyAlignment="1" applyProtection="1">
      <alignment horizontal="center" vertical="center" wrapText="1"/>
      <protection locked="0"/>
    </xf>
    <xf numFmtId="0" fontId="1" fillId="0" borderId="101" xfId="0" applyFont="1" applyBorder="1" applyAlignment="1" applyProtection="1">
      <alignment horizontal="center" vertical="center"/>
      <protection locked="0"/>
    </xf>
    <xf numFmtId="0" fontId="1" fillId="0" borderId="101" xfId="0" applyFont="1" applyBorder="1" applyAlignment="1" applyProtection="1">
      <alignment horizontal="center" vertical="center" wrapText="1"/>
      <protection locked="0"/>
    </xf>
    <xf numFmtId="0" fontId="1" fillId="0" borderId="135" xfId="0" applyFont="1" applyBorder="1" applyAlignment="1" applyProtection="1">
      <alignment horizontal="center" vertical="center"/>
      <protection locked="0"/>
    </xf>
    <xf numFmtId="0" fontId="0" fillId="0" borderId="136" xfId="0" applyFont="1" applyFill="1" applyBorder="1" applyAlignment="1" applyProtection="1">
      <alignment horizontal="center"/>
      <protection locked="0"/>
    </xf>
    <xf numFmtId="0" fontId="1" fillId="0" borderId="134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 wrapText="1"/>
      <protection locked="0"/>
    </xf>
    <xf numFmtId="16" fontId="1" fillId="2" borderId="101" xfId="0" applyNumberFormat="1" applyFont="1" applyFill="1" applyBorder="1" applyAlignment="1" applyProtection="1">
      <alignment horizontal="center" vertical="center"/>
      <protection locked="0"/>
    </xf>
    <xf numFmtId="0" fontId="9" fillId="2" borderId="102" xfId="0" applyFont="1" applyFill="1" applyBorder="1" applyAlignment="1" applyProtection="1">
      <alignment horizontal="center" vertical="center" wrapText="1"/>
      <protection locked="0"/>
    </xf>
    <xf numFmtId="0" fontId="1" fillId="2" borderId="101" xfId="0" applyFont="1" applyFill="1" applyBorder="1" applyAlignment="1" applyProtection="1">
      <alignment horizontal="center" vertical="center"/>
      <protection locked="0"/>
    </xf>
    <xf numFmtId="0" fontId="1" fillId="2" borderId="101" xfId="0" applyFont="1" applyFill="1" applyBorder="1" applyAlignment="1" applyProtection="1">
      <alignment horizontal="center" vertical="center" wrapText="1"/>
      <protection locked="0"/>
    </xf>
    <xf numFmtId="0" fontId="1" fillId="2" borderId="138" xfId="0" applyFont="1" applyFill="1" applyBorder="1" applyAlignment="1" applyProtection="1">
      <alignment horizontal="center" vertical="center"/>
      <protection locked="0"/>
    </xf>
    <xf numFmtId="0" fontId="1" fillId="2" borderId="139" xfId="0" applyFont="1" applyFill="1" applyBorder="1" applyAlignment="1" applyProtection="1">
      <alignment horizontal="center" vertical="center"/>
      <protection locked="0"/>
    </xf>
    <xf numFmtId="0" fontId="1" fillId="2" borderId="138" xfId="0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Border="1" applyAlignment="1" applyProtection="1">
      <alignment horizontal="center" vertical="center"/>
      <protection locked="0"/>
    </xf>
    <xf numFmtId="3" fontId="8" fillId="0" borderId="7" xfId="0" applyNumberFormat="1" applyFont="1" applyFill="1" applyBorder="1" applyAlignment="1" applyProtection="1">
      <alignment horizontal="center" wrapText="1"/>
      <protection locked="0"/>
    </xf>
    <xf numFmtId="3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3" fontId="26" fillId="0" borderId="26" xfId="0" applyNumberFormat="1" applyFont="1" applyBorder="1" applyAlignment="1" applyProtection="1">
      <alignment horizontal="center" vertical="center"/>
      <protection locked="0"/>
    </xf>
    <xf numFmtId="3" fontId="1" fillId="3" borderId="145" xfId="0" applyNumberFormat="1" applyFont="1" applyFill="1" applyBorder="1" applyAlignment="1" applyProtection="1">
      <alignment horizontal="center" vertical="center"/>
    </xf>
    <xf numFmtId="3" fontId="1" fillId="0" borderId="83" xfId="0" applyNumberFormat="1" applyFont="1" applyFill="1" applyBorder="1" applyAlignment="1" applyProtection="1">
      <alignment horizontal="center" vertical="center"/>
    </xf>
    <xf numFmtId="3" fontId="1" fillId="0" borderId="84" xfId="0" applyNumberFormat="1" applyFont="1" applyFill="1" applyBorder="1" applyAlignment="1" applyProtection="1">
      <alignment horizontal="center" vertical="center"/>
    </xf>
    <xf numFmtId="3" fontId="1" fillId="4" borderId="84" xfId="0" applyNumberFormat="1" applyFont="1" applyFill="1" applyBorder="1" applyAlignment="1" applyProtection="1">
      <alignment horizontal="center" vertical="center"/>
    </xf>
    <xf numFmtId="3" fontId="0" fillId="0" borderId="83" xfId="0" applyNumberFormat="1" applyFill="1" applyBorder="1" applyAlignment="1" applyProtection="1">
      <alignment horizontal="center" vertical="center"/>
      <protection locked="0"/>
    </xf>
    <xf numFmtId="3" fontId="0" fillId="0" borderId="84" xfId="0" applyNumberFormat="1" applyFill="1" applyBorder="1" applyAlignment="1" applyProtection="1">
      <alignment horizontal="center" vertical="center"/>
      <protection locked="0"/>
    </xf>
    <xf numFmtId="3" fontId="0" fillId="0" borderId="84" xfId="0" applyNumberFormat="1" applyBorder="1" applyAlignment="1" applyProtection="1">
      <alignment horizontal="center"/>
      <protection locked="0"/>
    </xf>
    <xf numFmtId="3" fontId="1" fillId="3" borderId="113" xfId="0" applyNumberFormat="1" applyFont="1" applyFill="1" applyBorder="1" applyAlignment="1" applyProtection="1">
      <alignment horizontal="center" vertical="center"/>
    </xf>
    <xf numFmtId="3" fontId="1" fillId="3" borderId="114" xfId="0" applyNumberFormat="1" applyFont="1" applyFill="1" applyBorder="1" applyAlignment="1" applyProtection="1">
      <alignment horizontal="center" vertical="center"/>
    </xf>
    <xf numFmtId="3" fontId="1" fillId="0" borderId="143" xfId="0" applyNumberFormat="1" applyFont="1" applyFill="1" applyBorder="1" applyAlignment="1" applyProtection="1">
      <alignment horizontal="center" vertical="center"/>
    </xf>
    <xf numFmtId="3" fontId="1" fillId="0" borderId="144" xfId="0" applyNumberFormat="1" applyFont="1" applyFill="1" applyBorder="1" applyAlignment="1" applyProtection="1">
      <alignment horizontal="center" vertical="center"/>
    </xf>
    <xf numFmtId="3" fontId="1" fillId="4" borderId="77" xfId="0" applyNumberFormat="1" applyFont="1" applyFill="1" applyBorder="1" applyAlignment="1" applyProtection="1">
      <alignment horizontal="center" vertical="center"/>
    </xf>
    <xf numFmtId="3" fontId="0" fillId="0" borderId="72" xfId="0" applyNumberFormat="1" applyFill="1" applyBorder="1" applyAlignment="1" applyProtection="1">
      <alignment horizontal="center" vertical="center"/>
      <protection locked="0"/>
    </xf>
    <xf numFmtId="3" fontId="0" fillId="0" borderId="61" xfId="0" applyNumberFormat="1" applyFill="1" applyBorder="1" applyAlignment="1" applyProtection="1">
      <alignment horizontal="center" vertical="center"/>
      <protection locked="0"/>
    </xf>
    <xf numFmtId="3" fontId="1" fillId="3" borderId="77" xfId="0" applyNumberFormat="1" applyFont="1" applyFill="1" applyBorder="1" applyAlignment="1" applyProtection="1">
      <alignment horizontal="center" vertical="center"/>
    </xf>
    <xf numFmtId="3" fontId="1" fillId="3" borderId="142" xfId="0" applyNumberFormat="1" applyFont="1" applyFill="1" applyBorder="1" applyAlignment="1" applyProtection="1">
      <alignment horizontal="center" vertical="center"/>
    </xf>
    <xf numFmtId="3" fontId="1" fillId="2" borderId="72" xfId="0" applyNumberFormat="1" applyFont="1" applyFill="1" applyBorder="1" applyAlignment="1" applyProtection="1">
      <alignment horizontal="center" vertical="center"/>
    </xf>
    <xf numFmtId="3" fontId="1" fillId="2" borderId="61" xfId="0" applyNumberFormat="1" applyFont="1" applyFill="1" applyBorder="1" applyAlignment="1" applyProtection="1">
      <alignment horizontal="center" vertical="center"/>
    </xf>
    <xf numFmtId="3" fontId="1" fillId="2" borderId="58" xfId="0" applyNumberFormat="1" applyFont="1" applyFill="1" applyBorder="1" applyAlignment="1" applyProtection="1">
      <alignment horizontal="center" vertical="center"/>
    </xf>
    <xf numFmtId="3" fontId="0" fillId="2" borderId="49" xfId="0" applyNumberFormat="1" applyFill="1" applyBorder="1" applyAlignment="1" applyProtection="1">
      <alignment horizontal="center" vertical="center"/>
      <protection locked="0"/>
    </xf>
    <xf numFmtId="3" fontId="0" fillId="2" borderId="48" xfId="0" applyNumberFormat="1" applyFill="1" applyBorder="1" applyAlignment="1" applyProtection="1">
      <alignment horizontal="center" vertical="center"/>
      <protection locked="0"/>
    </xf>
    <xf numFmtId="3" fontId="1" fillId="2" borderId="37" xfId="0" applyNumberFormat="1" applyFont="1" applyFill="1" applyBorder="1" applyAlignment="1" applyProtection="1">
      <alignment horizontal="center" vertical="center"/>
    </xf>
    <xf numFmtId="3" fontId="1" fillId="0" borderId="49" xfId="0" applyNumberFormat="1" applyFont="1" applyBorder="1" applyAlignment="1" applyProtection="1">
      <alignment horizontal="center" vertical="center"/>
    </xf>
    <xf numFmtId="3" fontId="1" fillId="0" borderId="48" xfId="0" applyNumberFormat="1" applyFont="1" applyBorder="1" applyAlignment="1" applyProtection="1">
      <alignment horizontal="center" vertical="center"/>
    </xf>
    <xf numFmtId="3" fontId="1" fillId="4" borderId="58" xfId="0" applyNumberFormat="1" applyFont="1" applyFill="1" applyBorder="1" applyAlignment="1" applyProtection="1">
      <alignment horizontal="center" vertical="center"/>
    </xf>
    <xf numFmtId="3" fontId="0" fillId="0" borderId="49" xfId="0" applyNumberFormat="1" applyBorder="1" applyAlignment="1" applyProtection="1">
      <alignment horizontal="center" vertical="center"/>
      <protection locked="0"/>
    </xf>
    <xf numFmtId="3" fontId="0" fillId="0" borderId="48" xfId="0" applyNumberFormat="1" applyBorder="1" applyAlignment="1" applyProtection="1">
      <alignment horizontal="center" vertical="center"/>
      <protection locked="0"/>
    </xf>
    <xf numFmtId="3" fontId="1" fillId="3" borderId="58" xfId="0" applyNumberFormat="1" applyFont="1" applyFill="1" applyBorder="1" applyAlignment="1" applyProtection="1">
      <alignment horizontal="center" vertical="center"/>
    </xf>
    <xf numFmtId="3" fontId="1" fillId="3" borderId="37" xfId="0" applyNumberFormat="1" applyFont="1" applyFill="1" applyBorder="1" applyAlignment="1" applyProtection="1">
      <alignment horizontal="center" vertical="center"/>
    </xf>
    <xf numFmtId="3" fontId="1" fillId="2" borderId="69" xfId="0" applyNumberFormat="1" applyFont="1" applyFill="1" applyBorder="1" applyAlignment="1" applyProtection="1">
      <alignment horizontal="center" vertical="center"/>
    </xf>
    <xf numFmtId="3" fontId="0" fillId="2" borderId="69" xfId="0" applyNumberFormat="1" applyFill="1" applyBorder="1" applyAlignment="1" applyProtection="1">
      <alignment horizontal="center" vertical="center"/>
    </xf>
    <xf numFmtId="3" fontId="1" fillId="2" borderId="74" xfId="0" applyNumberFormat="1" applyFont="1" applyFill="1" applyBorder="1" applyAlignment="1" applyProtection="1">
      <alignment horizontal="center" vertical="center"/>
    </xf>
    <xf numFmtId="3" fontId="0" fillId="2" borderId="71" xfId="0" applyNumberFormat="1" applyFill="1" applyBorder="1" applyAlignment="1" applyProtection="1">
      <alignment horizontal="center" vertical="center"/>
      <protection locked="0"/>
    </xf>
    <xf numFmtId="3" fontId="0" fillId="2" borderId="69" xfId="0" applyNumberFormat="1" applyFill="1" applyBorder="1" applyAlignment="1" applyProtection="1">
      <alignment horizontal="center" vertical="center"/>
      <protection locked="0"/>
    </xf>
    <xf numFmtId="3" fontId="1" fillId="2" borderId="80" xfId="0" applyNumberFormat="1" applyFont="1" applyFill="1" applyBorder="1" applyAlignment="1" applyProtection="1">
      <alignment horizontal="center" vertical="center"/>
    </xf>
    <xf numFmtId="3" fontId="0" fillId="2" borderId="61" xfId="0" applyNumberFormat="1" applyFill="1" applyBorder="1" applyAlignment="1" applyProtection="1">
      <alignment horizontal="center" vertical="center"/>
    </xf>
    <xf numFmtId="3" fontId="1" fillId="2" borderId="77" xfId="0" applyNumberFormat="1" applyFont="1" applyFill="1" applyBorder="1" applyAlignment="1" applyProtection="1">
      <alignment horizontal="center" vertical="center"/>
    </xf>
    <xf numFmtId="3" fontId="0" fillId="2" borderId="72" xfId="0" applyNumberFormat="1" applyFill="1" applyBorder="1" applyAlignment="1" applyProtection="1">
      <alignment horizontal="center" vertical="center"/>
      <protection locked="0"/>
    </xf>
    <xf numFmtId="3" fontId="0" fillId="2" borderId="61" xfId="0" applyNumberFormat="1" applyFill="1" applyBorder="1" applyAlignment="1" applyProtection="1">
      <alignment horizontal="center" vertical="center"/>
      <protection locked="0"/>
    </xf>
    <xf numFmtId="3" fontId="1" fillId="2" borderId="81" xfId="0" applyNumberFormat="1" applyFont="1" applyFill="1" applyBorder="1" applyAlignment="1" applyProtection="1">
      <alignment horizontal="center" vertical="center"/>
    </xf>
    <xf numFmtId="3" fontId="1" fillId="2" borderId="48" xfId="0" applyNumberFormat="1" applyFont="1" applyFill="1" applyBorder="1" applyAlignment="1" applyProtection="1">
      <alignment horizontal="center" vertical="center"/>
    </xf>
    <xf numFmtId="3" fontId="0" fillId="0" borderId="49" xfId="0" applyNumberFormat="1" applyFill="1" applyBorder="1" applyAlignment="1" applyProtection="1">
      <alignment horizontal="center"/>
      <protection locked="0"/>
    </xf>
    <xf numFmtId="3" fontId="0" fillId="0" borderId="48" xfId="0" applyNumberFormat="1" applyFill="1" applyBorder="1" applyAlignment="1" applyProtection="1">
      <alignment horizontal="center"/>
      <protection locked="0"/>
    </xf>
    <xf numFmtId="3" fontId="1" fillId="2" borderId="116" xfId="0" applyNumberFormat="1" applyFont="1" applyFill="1" applyBorder="1" applyAlignment="1" applyProtection="1">
      <alignment horizontal="center" vertical="center"/>
    </xf>
    <xf numFmtId="3" fontId="0" fillId="2" borderId="109" xfId="0" applyNumberFormat="1" applyFill="1" applyBorder="1" applyAlignment="1" applyProtection="1">
      <alignment horizontal="center" vertical="center"/>
      <protection locked="0"/>
    </xf>
    <xf numFmtId="3" fontId="0" fillId="2" borderId="107" xfId="0" applyNumberFormat="1" applyFill="1" applyBorder="1" applyAlignment="1" applyProtection="1">
      <alignment horizontal="center" vertical="center"/>
      <protection locked="0"/>
    </xf>
    <xf numFmtId="3" fontId="1" fillId="2" borderId="117" xfId="0" applyNumberFormat="1" applyFont="1" applyFill="1" applyBorder="1" applyAlignment="1" applyProtection="1">
      <alignment horizontal="center" vertical="center"/>
    </xf>
    <xf numFmtId="3" fontId="0" fillId="0" borderId="71" xfId="0" applyNumberFormat="1" applyFill="1" applyBorder="1" applyAlignment="1" applyProtection="1">
      <alignment horizontal="center" vertical="center"/>
      <protection locked="0"/>
    </xf>
    <xf numFmtId="3" fontId="0" fillId="0" borderId="69" xfId="0" applyNumberFormat="1" applyFill="1" applyBorder="1" applyAlignment="1" applyProtection="1">
      <alignment horizontal="center" vertical="center"/>
      <protection locked="0"/>
    </xf>
    <xf numFmtId="3" fontId="1" fillId="3" borderId="80" xfId="0" applyNumberFormat="1" applyFont="1" applyFill="1" applyBorder="1" applyAlignment="1" applyProtection="1">
      <alignment horizontal="center" vertical="center"/>
    </xf>
    <xf numFmtId="3" fontId="1" fillId="2" borderId="49" xfId="0" applyNumberFormat="1" applyFont="1" applyFill="1" applyBorder="1" applyAlignment="1" applyProtection="1">
      <alignment horizontal="center" vertical="center"/>
    </xf>
    <xf numFmtId="3" fontId="1" fillId="3" borderId="61" xfId="0" applyNumberFormat="1" applyFont="1" applyFill="1" applyBorder="1" applyAlignment="1" applyProtection="1">
      <alignment horizontal="center" vertical="center"/>
    </xf>
    <xf numFmtId="3" fontId="1" fillId="3" borderId="48" xfId="0" applyNumberFormat="1" applyFont="1" applyFill="1" applyBorder="1" applyAlignment="1" applyProtection="1">
      <alignment horizontal="center" vertical="center"/>
    </xf>
    <xf numFmtId="0" fontId="17" fillId="3" borderId="1" xfId="0" applyFont="1" applyFill="1" applyBorder="1" applyAlignment="1" applyProtection="1">
      <alignment horizontal="center" vertical="center" wrapText="1"/>
      <protection locked="0"/>
    </xf>
    <xf numFmtId="0" fontId="17" fillId="0" borderId="13" xfId="0" applyFont="1" applyBorder="1" applyAlignment="1" applyProtection="1">
      <alignment horizontal="center" vertical="center" wrapText="1"/>
      <protection locked="0"/>
    </xf>
    <xf numFmtId="3" fontId="1" fillId="4" borderId="70" xfId="0" applyNumberFormat="1" applyFont="1" applyFill="1" applyBorder="1" applyAlignment="1" applyProtection="1">
      <alignment horizontal="center" vertical="center"/>
    </xf>
    <xf numFmtId="3" fontId="0" fillId="0" borderId="61" xfId="0" applyNumberFormat="1" applyBorder="1" applyAlignment="1" applyProtection="1">
      <alignment horizontal="center" vertical="center"/>
      <protection locked="0"/>
    </xf>
    <xf numFmtId="3" fontId="0" fillId="0" borderId="45" xfId="0" applyNumberFormat="1" applyBorder="1" applyAlignment="1" applyProtection="1">
      <alignment horizontal="center" vertical="center"/>
      <protection locked="0"/>
    </xf>
    <xf numFmtId="3" fontId="0" fillId="2" borderId="141" xfId="0" applyNumberFormat="1" applyFill="1" applyBorder="1" applyAlignment="1" applyProtection="1">
      <alignment horizontal="center" vertical="center"/>
      <protection locked="0"/>
    </xf>
    <xf numFmtId="3" fontId="0" fillId="2" borderId="45" xfId="0" applyNumberFormat="1" applyFill="1" applyBorder="1" applyAlignment="1" applyProtection="1">
      <alignment horizontal="center" vertical="center"/>
      <protection locked="0"/>
    </xf>
    <xf numFmtId="3" fontId="1" fillId="4" borderId="62" xfId="0" applyNumberFormat="1" applyFont="1" applyFill="1" applyBorder="1" applyAlignment="1" applyProtection="1">
      <alignment horizontal="center" vertical="center"/>
    </xf>
    <xf numFmtId="3" fontId="0" fillId="0" borderId="48" xfId="0" applyNumberFormat="1" applyFill="1" applyBorder="1" applyAlignment="1" applyProtection="1">
      <alignment horizontal="center" vertical="center"/>
      <protection locked="0"/>
    </xf>
    <xf numFmtId="3" fontId="0" fillId="2" borderId="120" xfId="0" applyNumberFormat="1" applyFill="1" applyBorder="1" applyAlignment="1" applyProtection="1">
      <alignment horizontal="center" vertical="center"/>
      <protection locked="0"/>
    </xf>
    <xf numFmtId="3" fontId="1" fillId="2" borderId="62" xfId="0" applyNumberFormat="1" applyFont="1" applyFill="1" applyBorder="1" applyAlignment="1" applyProtection="1">
      <alignment horizontal="center" vertical="center"/>
    </xf>
    <xf numFmtId="3" fontId="0" fillId="0" borderId="120" xfId="0" applyNumberFormat="1" applyFill="1" applyBorder="1" applyAlignment="1" applyProtection="1">
      <alignment horizontal="center" vertical="center"/>
      <protection locked="0"/>
    </xf>
    <xf numFmtId="3" fontId="0" fillId="0" borderId="120" xfId="0" applyNumberFormat="1" applyBorder="1" applyAlignment="1" applyProtection="1">
      <alignment horizontal="center" vertical="center"/>
      <protection locked="0"/>
    </xf>
    <xf numFmtId="3" fontId="0" fillId="2" borderId="121" xfId="0" applyNumberFormat="1" applyFill="1" applyBorder="1" applyAlignment="1" applyProtection="1">
      <alignment horizontal="center" vertical="center"/>
      <protection locked="0"/>
    </xf>
    <xf numFmtId="3" fontId="0" fillId="0" borderId="122" xfId="0" applyNumberFormat="1" applyFill="1" applyBorder="1" applyAlignment="1" applyProtection="1">
      <alignment horizontal="center" vertical="center"/>
      <protection locked="0"/>
    </xf>
    <xf numFmtId="3" fontId="1" fillId="2" borderId="70" xfId="0" applyNumberFormat="1" applyFont="1" applyFill="1" applyBorder="1" applyAlignment="1" applyProtection="1">
      <alignment horizontal="center" vertical="center"/>
    </xf>
    <xf numFmtId="3" fontId="1" fillId="4" borderId="68" xfId="0" applyNumberFormat="1" applyFont="1" applyFill="1" applyBorder="1" applyAlignment="1" applyProtection="1">
      <alignment horizontal="center" vertical="center"/>
    </xf>
    <xf numFmtId="3" fontId="0" fillId="0" borderId="56" xfId="0" applyNumberFormat="1" applyBorder="1" applyAlignment="1" applyProtection="1">
      <alignment horizontal="center" vertical="center"/>
      <protection locked="0"/>
    </xf>
    <xf numFmtId="3" fontId="0" fillId="0" borderId="123" xfId="0" applyNumberFormat="1" applyBorder="1" applyAlignment="1" applyProtection="1">
      <alignment horizontal="center" vertical="center"/>
      <protection locked="0"/>
    </xf>
    <xf numFmtId="3" fontId="1" fillId="0" borderId="61" xfId="0" applyNumberFormat="1" applyFont="1" applyBorder="1" applyAlignment="1" applyProtection="1">
      <alignment horizontal="center" vertical="center"/>
      <protection locked="0"/>
    </xf>
    <xf numFmtId="3" fontId="1" fillId="0" borderId="45" xfId="0" applyNumberFormat="1" applyFont="1" applyBorder="1" applyAlignment="1" applyProtection="1">
      <alignment horizontal="center" vertical="center"/>
      <protection locked="0"/>
    </xf>
    <xf numFmtId="3" fontId="1" fillId="0" borderId="119" xfId="0" applyNumberFormat="1" applyFont="1" applyBorder="1" applyAlignment="1" applyProtection="1">
      <alignment horizontal="center" vertical="center"/>
      <protection locked="0"/>
    </xf>
    <xf numFmtId="3" fontId="1" fillId="0" borderId="48" xfId="0" applyNumberFormat="1" applyFont="1" applyFill="1" applyBorder="1" applyAlignment="1" applyProtection="1">
      <alignment horizontal="center" vertical="center"/>
      <protection locked="0"/>
    </xf>
    <xf numFmtId="3" fontId="1" fillId="0" borderId="67" xfId="0" applyNumberFormat="1" applyFont="1" applyFill="1" applyBorder="1" applyAlignment="1" applyProtection="1">
      <alignment horizontal="center" vertical="center"/>
      <protection locked="0"/>
    </xf>
    <xf numFmtId="3" fontId="1" fillId="2" borderId="48" xfId="0" applyNumberFormat="1" applyFont="1" applyFill="1" applyBorder="1" applyAlignment="1" applyProtection="1">
      <alignment horizontal="center" vertical="center"/>
      <protection locked="0"/>
    </xf>
    <xf numFmtId="3" fontId="1" fillId="2" borderId="67" xfId="0" applyNumberFormat="1" applyFont="1" applyFill="1" applyBorder="1" applyAlignment="1" applyProtection="1">
      <alignment horizontal="center" vertical="center"/>
      <protection locked="0"/>
    </xf>
    <xf numFmtId="3" fontId="1" fillId="2" borderId="69" xfId="0" applyNumberFormat="1" applyFont="1" applyFill="1" applyBorder="1" applyAlignment="1" applyProtection="1">
      <alignment horizontal="center" vertical="center"/>
      <protection locked="0"/>
    </xf>
    <xf numFmtId="3" fontId="1" fillId="2" borderId="75" xfId="0" applyNumberFormat="1" applyFont="1" applyFill="1" applyBorder="1" applyAlignment="1" applyProtection="1">
      <alignment horizontal="center" vertical="center"/>
      <protection locked="0"/>
    </xf>
    <xf numFmtId="3" fontId="1" fillId="0" borderId="61" xfId="0" applyNumberFormat="1" applyFont="1" applyFill="1" applyBorder="1" applyAlignment="1" applyProtection="1">
      <alignment horizontal="center" vertical="center"/>
      <protection locked="0"/>
    </xf>
    <xf numFmtId="3" fontId="1" fillId="0" borderId="78" xfId="0" applyNumberFormat="1" applyFont="1" applyFill="1" applyBorder="1" applyAlignment="1" applyProtection="1">
      <alignment horizontal="center" vertical="center"/>
      <protection locked="0"/>
    </xf>
    <xf numFmtId="3" fontId="1" fillId="0" borderId="48" xfId="0" applyNumberFormat="1" applyFont="1" applyBorder="1" applyAlignment="1" applyProtection="1">
      <alignment horizontal="center" vertical="center"/>
      <protection locked="0"/>
    </xf>
    <xf numFmtId="3" fontId="1" fillId="0" borderId="67" xfId="0" applyNumberFormat="1" applyFont="1" applyBorder="1" applyAlignment="1" applyProtection="1">
      <alignment horizontal="center" vertical="center"/>
      <protection locked="0"/>
    </xf>
    <xf numFmtId="3" fontId="1" fillId="2" borderId="49" xfId="0" applyNumberFormat="1" applyFont="1" applyFill="1" applyBorder="1" applyAlignment="1" applyProtection="1">
      <alignment horizontal="center" vertical="center"/>
      <protection locked="0"/>
    </xf>
    <xf numFmtId="3" fontId="1" fillId="0" borderId="49" xfId="0" applyNumberFormat="1" applyFont="1" applyBorder="1" applyAlignment="1" applyProtection="1">
      <alignment horizontal="center" vertical="center"/>
      <protection locked="0"/>
    </xf>
    <xf numFmtId="3" fontId="1" fillId="0" borderId="49" xfId="0" applyNumberFormat="1" applyFont="1" applyFill="1" applyBorder="1" applyAlignment="1" applyProtection="1">
      <alignment horizontal="center" vertical="center"/>
      <protection locked="0"/>
    </xf>
    <xf numFmtId="0" fontId="17" fillId="3" borderId="2" xfId="0" applyFont="1" applyFill="1" applyBorder="1" applyAlignment="1" applyProtection="1">
      <alignment horizontal="center" vertical="center" wrapText="1"/>
      <protection locked="0"/>
    </xf>
    <xf numFmtId="0" fontId="17" fillId="3" borderId="3" xfId="0" applyFont="1" applyFill="1" applyBorder="1" applyAlignment="1" applyProtection="1">
      <alignment horizontal="center" vertical="center" wrapText="1"/>
      <protection locked="0"/>
    </xf>
    <xf numFmtId="3" fontId="29" fillId="0" borderId="8" xfId="0" applyNumberFormat="1" applyFont="1" applyBorder="1" applyAlignment="1" applyProtection="1">
      <alignment horizontal="center" vertical="center"/>
      <protection locked="0"/>
    </xf>
    <xf numFmtId="3" fontId="29" fillId="0" borderId="14" xfId="0" applyNumberFormat="1" applyFont="1" applyBorder="1" applyAlignment="1" applyProtection="1">
      <alignment horizontal="center" vertical="center"/>
    </xf>
    <xf numFmtId="3" fontId="29" fillId="0" borderId="10" xfId="0" applyNumberFormat="1" applyFont="1" applyBorder="1" applyAlignment="1" applyProtection="1">
      <alignment horizontal="center" vertical="center"/>
    </xf>
    <xf numFmtId="3" fontId="29" fillId="0" borderId="11" xfId="0" applyNumberFormat="1" applyFont="1" applyBorder="1" applyAlignment="1" applyProtection="1">
      <alignment horizontal="center" vertical="center"/>
    </xf>
    <xf numFmtId="3" fontId="29" fillId="0" borderId="0" xfId="0" applyNumberFormat="1" applyFont="1" applyProtection="1">
      <protection locked="0"/>
    </xf>
    <xf numFmtId="3" fontId="1" fillId="2" borderId="143" xfId="0" applyNumberFormat="1" applyFont="1" applyFill="1" applyBorder="1" applyAlignment="1" applyProtection="1">
      <alignment horizontal="center" vertical="center"/>
    </xf>
    <xf numFmtId="3" fontId="1" fillId="2" borderId="144" xfId="0" applyNumberFormat="1" applyFont="1" applyFill="1" applyBorder="1" applyAlignment="1" applyProtection="1">
      <alignment horizontal="center" vertical="center"/>
    </xf>
    <xf numFmtId="3" fontId="0" fillId="0" borderId="0" xfId="0" applyNumberFormat="1" applyFill="1" applyBorder="1" applyAlignment="1" applyProtection="1">
      <alignment horizontal="center"/>
      <protection locked="0"/>
    </xf>
    <xf numFmtId="3" fontId="2" fillId="0" borderId="118" xfId="0" applyNumberFormat="1" applyFont="1" applyBorder="1" applyAlignment="1" applyProtection="1">
      <alignment horizontal="center" vertical="center"/>
    </xf>
    <xf numFmtId="3" fontId="0" fillId="0" borderId="48" xfId="0" applyNumberFormat="1" applyFont="1" applyBorder="1" applyAlignment="1" applyProtection="1">
      <alignment horizontal="center" vertical="center"/>
      <protection locked="0"/>
    </xf>
    <xf numFmtId="3" fontId="0" fillId="0" borderId="120" xfId="0" applyNumberFormat="1" applyFont="1" applyBorder="1" applyAlignment="1" applyProtection="1">
      <alignment horizontal="center" vertical="center"/>
      <protection locked="0"/>
    </xf>
    <xf numFmtId="0" fontId="0" fillId="0" borderId="61" xfId="0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3" fontId="3" fillId="9" borderId="18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6" xfId="0" applyFont="1" applyFill="1" applyBorder="1" applyAlignment="1" applyProtection="1">
      <alignment vertical="center"/>
      <protection locked="0"/>
    </xf>
    <xf numFmtId="3" fontId="1" fillId="2" borderId="19" xfId="0" applyNumberFormat="1" applyFont="1" applyFill="1" applyBorder="1" applyAlignment="1" applyProtection="1">
      <alignment horizontal="center" vertical="center"/>
    </xf>
    <xf numFmtId="3" fontId="1" fillId="2" borderId="0" xfId="0" applyNumberFormat="1" applyFont="1" applyFill="1" applyBorder="1" applyAlignment="1" applyProtection="1">
      <alignment horizontal="center" vertical="center"/>
    </xf>
    <xf numFmtId="3" fontId="3" fillId="9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69" xfId="0" applyFont="1" applyFill="1" applyBorder="1" applyAlignment="1" applyProtection="1">
      <alignment horizontal="center" vertical="center"/>
      <protection locked="0"/>
    </xf>
    <xf numFmtId="0" fontId="1" fillId="2" borderId="120" xfId="0" applyFont="1" applyFill="1" applyBorder="1" applyAlignment="1" applyProtection="1">
      <alignment horizontal="center" vertical="center"/>
      <protection locked="0"/>
    </xf>
    <xf numFmtId="0" fontId="1" fillId="0" borderId="45" xfId="0" applyFont="1" applyFill="1" applyBorder="1" applyAlignment="1" applyProtection="1">
      <alignment horizontal="center" vertical="center"/>
      <protection locked="0"/>
    </xf>
    <xf numFmtId="0" fontId="1" fillId="0" borderId="48" xfId="0" applyFont="1" applyFill="1" applyBorder="1" applyAlignment="1" applyProtection="1">
      <alignment horizontal="center" vertical="center"/>
      <protection locked="0"/>
    </xf>
    <xf numFmtId="0" fontId="1" fillId="0" borderId="61" xfId="0" applyFont="1" applyFill="1" applyBorder="1" applyAlignment="1" applyProtection="1">
      <alignment horizontal="center" vertical="center"/>
      <protection locked="0"/>
    </xf>
    <xf numFmtId="0" fontId="17" fillId="0" borderId="149" xfId="0" applyFont="1" applyFill="1" applyBorder="1" applyAlignment="1" applyProtection="1">
      <alignment horizontal="center" vertical="center" wrapText="1"/>
      <protection locked="0"/>
    </xf>
    <xf numFmtId="0" fontId="17" fillId="0" borderId="150" xfId="0" applyFont="1" applyFill="1" applyBorder="1" applyAlignment="1" applyProtection="1">
      <alignment horizontal="center" vertical="center" wrapText="1"/>
      <protection locked="0"/>
    </xf>
    <xf numFmtId="0" fontId="1" fillId="2" borderId="48" xfId="0" applyFont="1" applyFill="1" applyBorder="1" applyAlignment="1" applyProtection="1">
      <alignment horizontal="center" vertical="center"/>
      <protection locked="0"/>
    </xf>
    <xf numFmtId="0" fontId="1" fillId="2" borderId="67" xfId="0" applyFont="1" applyFill="1" applyBorder="1" applyAlignment="1" applyProtection="1">
      <alignment horizontal="center" vertical="center"/>
      <protection locked="0"/>
    </xf>
    <xf numFmtId="0" fontId="1" fillId="2" borderId="75" xfId="0" applyFont="1" applyFill="1" applyBorder="1" applyAlignment="1" applyProtection="1">
      <alignment horizontal="center" vertical="center"/>
      <protection locked="0"/>
    </xf>
    <xf numFmtId="0" fontId="0" fillId="2" borderId="122" xfId="0" applyFill="1" applyBorder="1" applyAlignment="1" applyProtection="1">
      <alignment horizontal="center" vertical="center"/>
      <protection locked="0"/>
    </xf>
    <xf numFmtId="0" fontId="1" fillId="0" borderId="120" xfId="0" applyFont="1" applyFill="1" applyBorder="1" applyAlignment="1" applyProtection="1">
      <alignment horizontal="center" vertical="center"/>
      <protection locked="0"/>
    </xf>
    <xf numFmtId="0" fontId="0" fillId="2" borderId="141" xfId="0" applyFill="1" applyBorder="1" applyAlignment="1" applyProtection="1">
      <alignment horizontal="center" vertical="center"/>
      <protection locked="0"/>
    </xf>
    <xf numFmtId="3" fontId="1" fillId="0" borderId="0" xfId="0" applyNumberFormat="1" applyFont="1" applyAlignment="1" applyProtection="1">
      <alignment horizontal="center"/>
      <protection locked="0"/>
    </xf>
    <xf numFmtId="3" fontId="0" fillId="0" borderId="0" xfId="0" applyNumberFormat="1"/>
    <xf numFmtId="0" fontId="1" fillId="0" borderId="8" xfId="0" applyFont="1" applyBorder="1" applyAlignment="1">
      <alignment horizontal="center" wrapText="1"/>
    </xf>
    <xf numFmtId="0" fontId="0" fillId="0" borderId="53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1" fillId="4" borderId="83" xfId="0" applyFont="1" applyFill="1" applyBorder="1" applyAlignment="1" applyProtection="1">
      <alignment horizontal="center"/>
      <protection locked="0"/>
    </xf>
    <xf numFmtId="0" fontId="1" fillId="4" borderId="84" xfId="0" applyFont="1" applyFill="1" applyBorder="1" applyAlignment="1" applyProtection="1">
      <alignment horizontal="center"/>
      <protection locked="0"/>
    </xf>
    <xf numFmtId="0" fontId="1" fillId="4" borderId="152" xfId="0" applyFont="1" applyFill="1" applyBorder="1" applyAlignment="1" applyProtection="1">
      <alignment horizontal="center"/>
      <protection locked="0"/>
    </xf>
    <xf numFmtId="0" fontId="1" fillId="4" borderId="103" xfId="0" applyFont="1" applyFill="1" applyBorder="1" applyAlignment="1" applyProtection="1">
      <alignment horizontal="center"/>
      <protection locked="0"/>
    </xf>
    <xf numFmtId="0" fontId="1" fillId="4" borderId="101" xfId="0" applyFont="1" applyFill="1" applyBorder="1" applyAlignment="1" applyProtection="1">
      <alignment horizontal="center"/>
      <protection locked="0"/>
    </xf>
    <xf numFmtId="0" fontId="1" fillId="4" borderId="133" xfId="0" applyFont="1" applyFill="1" applyBorder="1" applyAlignment="1" applyProtection="1">
      <alignment horizontal="center"/>
      <protection locked="0"/>
    </xf>
    <xf numFmtId="0" fontId="9" fillId="3" borderId="149" xfId="0" applyFont="1" applyFill="1" applyBorder="1" applyAlignment="1" applyProtection="1">
      <alignment horizontal="center" vertical="center" wrapText="1"/>
      <protection locked="0"/>
    </xf>
    <xf numFmtId="0" fontId="1" fillId="3" borderId="48" xfId="0" applyFont="1" applyFill="1" applyBorder="1" applyAlignment="1" applyProtection="1">
      <alignment horizontal="center" vertical="center"/>
      <protection locked="0"/>
    </xf>
    <xf numFmtId="3" fontId="29" fillId="0" borderId="11" xfId="0" applyNumberFormat="1" applyFont="1" applyFill="1" applyBorder="1" applyAlignment="1" applyProtection="1">
      <alignment horizontal="center" vertical="center"/>
    </xf>
    <xf numFmtId="3" fontId="29" fillId="0" borderId="10" xfId="0" applyNumberFormat="1" applyFont="1" applyFill="1" applyBorder="1" applyAlignment="1" applyProtection="1">
      <alignment horizontal="center" vertical="center"/>
    </xf>
    <xf numFmtId="0" fontId="1" fillId="3" borderId="61" xfId="0" applyFont="1" applyFill="1" applyBorder="1" applyAlignment="1" applyProtection="1">
      <alignment horizontal="center" vertical="center"/>
      <protection locked="0"/>
    </xf>
    <xf numFmtId="3" fontId="29" fillId="3" borderId="10" xfId="0" applyNumberFormat="1" applyFont="1" applyFill="1" applyBorder="1" applyAlignment="1" applyProtection="1">
      <alignment horizontal="center" vertical="center"/>
    </xf>
    <xf numFmtId="3" fontId="29" fillId="4" borderId="70" xfId="0" applyNumberFormat="1" applyFont="1" applyFill="1" applyBorder="1" applyAlignment="1" applyProtection="1">
      <alignment horizontal="center" vertical="center"/>
    </xf>
    <xf numFmtId="3" fontId="29" fillId="4" borderId="0" xfId="0" applyNumberFormat="1" applyFont="1" applyFill="1" applyBorder="1" applyAlignment="1" applyProtection="1">
      <alignment horizontal="center" vertical="center"/>
    </xf>
    <xf numFmtId="0" fontId="27" fillId="0" borderId="0" xfId="0" applyFont="1" applyFill="1" applyBorder="1" applyAlignment="1" applyProtection="1">
      <alignment horizontal="center"/>
      <protection locked="0"/>
    </xf>
    <xf numFmtId="3" fontId="12" fillId="0" borderId="0" xfId="0" applyNumberFormat="1" applyFont="1" applyFill="1" applyBorder="1" applyAlignment="1" applyProtection="1">
      <alignment horizontal="center"/>
      <protection locked="0"/>
    </xf>
    <xf numFmtId="3" fontId="0" fillId="0" borderId="49" xfId="0" applyNumberFormat="1" applyFill="1" applyBorder="1" applyAlignment="1" applyProtection="1">
      <alignment horizontal="center" vertical="center"/>
      <protection locked="0"/>
    </xf>
    <xf numFmtId="0" fontId="1" fillId="2" borderId="103" xfId="0" applyFont="1" applyFill="1" applyBorder="1" applyAlignment="1" applyProtection="1">
      <alignment horizontal="center"/>
      <protection locked="0"/>
    </xf>
    <xf numFmtId="0" fontId="1" fillId="2" borderId="101" xfId="0" applyFont="1" applyFill="1" applyBorder="1" applyAlignment="1" applyProtection="1">
      <alignment horizontal="center"/>
      <protection locked="0"/>
    </xf>
    <xf numFmtId="0" fontId="1" fillId="2" borderId="133" xfId="0" applyFont="1" applyFill="1" applyBorder="1" applyAlignment="1" applyProtection="1">
      <alignment horizontal="center"/>
      <protection locked="0"/>
    </xf>
    <xf numFmtId="3" fontId="1" fillId="4" borderId="148" xfId="0" applyNumberFormat="1" applyFont="1" applyFill="1" applyBorder="1" applyAlignment="1" applyProtection="1">
      <alignment horizontal="center" vertical="center"/>
    </xf>
    <xf numFmtId="3" fontId="1" fillId="3" borderId="10" xfId="0" applyNumberFormat="1" applyFont="1" applyFill="1" applyBorder="1" applyAlignment="1" applyProtection="1">
      <alignment horizontal="center" vertical="center"/>
    </xf>
    <xf numFmtId="3" fontId="1" fillId="3" borderId="147" xfId="0" applyNumberFormat="1" applyFont="1" applyFill="1" applyBorder="1" applyAlignment="1" applyProtection="1">
      <alignment horizontal="center" vertical="center"/>
    </xf>
    <xf numFmtId="3" fontId="0" fillId="3" borderId="58" xfId="0" applyNumberFormat="1" applyFill="1" applyBorder="1" applyAlignment="1" applyProtection="1">
      <alignment horizontal="center"/>
      <protection locked="0"/>
    </xf>
    <xf numFmtId="3" fontId="0" fillId="3" borderId="48" xfId="0" applyNumberFormat="1" applyFill="1" applyBorder="1" applyAlignment="1" applyProtection="1">
      <alignment horizontal="center"/>
      <protection locked="0"/>
    </xf>
    <xf numFmtId="3" fontId="0" fillId="0" borderId="120" xfId="0" applyNumberFormat="1" applyFill="1" applyBorder="1" applyAlignment="1" applyProtection="1">
      <alignment horizontal="center"/>
      <protection locked="0"/>
    </xf>
    <xf numFmtId="3" fontId="0" fillId="3" borderId="37" xfId="0" applyNumberFormat="1" applyFill="1" applyBorder="1" applyAlignment="1" applyProtection="1">
      <alignment horizontal="center"/>
      <protection locked="0"/>
    </xf>
    <xf numFmtId="3" fontId="8" fillId="0" borderId="0" xfId="0" applyNumberFormat="1" applyFont="1" applyFill="1" applyAlignment="1" applyProtection="1">
      <alignment horizontal="center"/>
      <protection locked="0"/>
    </xf>
    <xf numFmtId="3" fontId="2" fillId="0" borderId="0" xfId="0" applyNumberFormat="1" applyFont="1" applyAlignment="1" applyProtection="1">
      <alignment horizontal="right" vertical="center"/>
      <protection locked="0"/>
    </xf>
    <xf numFmtId="3" fontId="2" fillId="0" borderId="9" xfId="0" applyNumberFormat="1" applyFont="1" applyBorder="1" applyAlignment="1" applyProtection="1">
      <alignment horizontal="center" vertical="center"/>
    </xf>
    <xf numFmtId="0" fontId="8" fillId="0" borderId="0" xfId="0" applyFont="1" applyFill="1" applyAlignment="1" applyProtection="1">
      <alignment horizontal="center" wrapText="1"/>
      <protection locked="0"/>
    </xf>
    <xf numFmtId="0" fontId="0" fillId="2" borderId="0" xfId="0" applyFill="1" applyBorder="1" applyProtection="1">
      <protection locked="0"/>
    </xf>
    <xf numFmtId="3" fontId="1" fillId="2" borderId="71" xfId="0" applyNumberFormat="1" applyFont="1" applyFill="1" applyBorder="1" applyAlignment="1" applyProtection="1">
      <alignment horizontal="center" vertical="center"/>
    </xf>
    <xf numFmtId="3" fontId="1" fillId="2" borderId="20" xfId="0" applyNumberFormat="1" applyFont="1" applyFill="1" applyBorder="1" applyAlignment="1" applyProtection="1">
      <alignment horizontal="center" vertical="center"/>
    </xf>
    <xf numFmtId="3" fontId="11" fillId="0" borderId="0" xfId="0" applyNumberFormat="1" applyFont="1" applyProtection="1">
      <protection locked="0"/>
    </xf>
    <xf numFmtId="0" fontId="0" fillId="0" borderId="103" xfId="0" applyFont="1" applyFill="1" applyBorder="1" applyAlignment="1" applyProtection="1">
      <alignment horizontal="center"/>
      <protection locked="0"/>
    </xf>
    <xf numFmtId="0" fontId="0" fillId="0" borderId="101" xfId="0" applyFont="1" applyFill="1" applyBorder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164" fontId="6" fillId="0" borderId="0" xfId="0" quotePrefix="1" applyNumberFormat="1" applyFont="1" applyAlignment="1" applyProtection="1">
      <alignment horizontal="center"/>
      <protection locked="0"/>
    </xf>
    <xf numFmtId="0" fontId="2" fillId="6" borderId="9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Fill="1" applyBorder="1" applyProtection="1">
      <protection locked="0"/>
    </xf>
    <xf numFmtId="3" fontId="1" fillId="3" borderId="151" xfId="0" applyNumberFormat="1" applyFont="1" applyFill="1" applyBorder="1" applyAlignment="1" applyProtection="1">
      <alignment horizontal="center" vertical="center"/>
    </xf>
    <xf numFmtId="0" fontId="9" fillId="0" borderId="150" xfId="0" applyFont="1" applyBorder="1" applyAlignment="1" applyProtection="1">
      <alignment horizontal="center" vertical="center" wrapText="1"/>
      <protection locked="0"/>
    </xf>
    <xf numFmtId="0" fontId="9" fillId="3" borderId="155" xfId="0" applyFont="1" applyFill="1" applyBorder="1" applyAlignment="1" applyProtection="1">
      <alignment horizontal="center" vertical="center" wrapText="1"/>
      <protection locked="0"/>
    </xf>
    <xf numFmtId="0" fontId="1" fillId="3" borderId="119" xfId="0" applyFont="1" applyFill="1" applyBorder="1" applyAlignment="1" applyProtection="1">
      <alignment horizontal="center" vertical="center"/>
      <protection locked="0"/>
    </xf>
    <xf numFmtId="0" fontId="1" fillId="3" borderId="67" xfId="0" applyFont="1" applyFill="1" applyBorder="1" applyAlignment="1" applyProtection="1">
      <alignment horizontal="center" vertical="center"/>
      <protection locked="0"/>
    </xf>
    <xf numFmtId="0" fontId="1" fillId="3" borderId="78" xfId="0" applyFont="1" applyFill="1" applyBorder="1" applyAlignment="1" applyProtection="1">
      <alignment horizontal="center" vertical="center"/>
      <protection locked="0"/>
    </xf>
    <xf numFmtId="0" fontId="1" fillId="3" borderId="67" xfId="0" applyFont="1" applyFill="1" applyBorder="1" applyAlignment="1" applyProtection="1">
      <alignment horizontal="center"/>
      <protection locked="0"/>
    </xf>
    <xf numFmtId="3" fontId="29" fillId="3" borderId="151" xfId="0" applyNumberFormat="1" applyFont="1" applyFill="1" applyBorder="1" applyAlignment="1" applyProtection="1">
      <alignment horizontal="center" vertical="center"/>
    </xf>
    <xf numFmtId="0" fontId="13" fillId="0" borderId="150" xfId="0" applyFont="1" applyFill="1" applyBorder="1" applyAlignment="1" applyProtection="1">
      <alignment horizontal="center" vertical="center" wrapText="1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1" fillId="2" borderId="45" xfId="0" applyFont="1" applyFill="1" applyBorder="1" applyAlignment="1" applyProtection="1">
      <alignment horizontal="center" vertical="center"/>
      <protection locked="0"/>
    </xf>
    <xf numFmtId="0" fontId="1" fillId="2" borderId="119" xfId="0" applyFont="1" applyFill="1" applyBorder="1" applyAlignment="1" applyProtection="1">
      <alignment horizontal="center" vertical="center"/>
      <protection locked="0"/>
    </xf>
    <xf numFmtId="0" fontId="1" fillId="2" borderId="61" xfId="0" applyFont="1" applyFill="1" applyBorder="1" applyAlignment="1" applyProtection="1">
      <alignment horizontal="center" vertical="center"/>
      <protection locked="0"/>
    </xf>
    <xf numFmtId="0" fontId="1" fillId="2" borderId="78" xfId="0" applyFont="1" applyFill="1" applyBorder="1" applyAlignment="1" applyProtection="1">
      <alignment horizontal="center" vertical="center"/>
      <protection locked="0"/>
    </xf>
    <xf numFmtId="0" fontId="1" fillId="2" borderId="48" xfId="0" applyFont="1" applyFill="1" applyBorder="1" applyAlignment="1" applyProtection="1">
      <alignment horizontal="center"/>
      <protection locked="0"/>
    </xf>
    <xf numFmtId="0" fontId="1" fillId="2" borderId="67" xfId="0" applyFont="1" applyFill="1" applyBorder="1" applyAlignment="1" applyProtection="1">
      <alignment horizontal="center"/>
      <protection locked="0"/>
    </xf>
    <xf numFmtId="0" fontId="1" fillId="2" borderId="141" xfId="0" applyFont="1" applyFill="1" applyBorder="1" applyAlignment="1" applyProtection="1">
      <alignment horizontal="center" vertical="center"/>
      <protection locked="0"/>
    </xf>
    <xf numFmtId="0" fontId="1" fillId="3" borderId="75" xfId="0" applyFont="1" applyFill="1" applyBorder="1" applyAlignment="1" applyProtection="1">
      <alignment horizontal="center" vertical="center"/>
      <protection locked="0"/>
    </xf>
    <xf numFmtId="0" fontId="0" fillId="0" borderId="48" xfId="0" applyFont="1" applyFill="1" applyBorder="1" applyAlignment="1" applyProtection="1">
      <alignment horizontal="center" vertical="center"/>
      <protection locked="0"/>
    </xf>
    <xf numFmtId="3" fontId="1" fillId="3" borderId="67" xfId="0" applyNumberFormat="1" applyFont="1" applyFill="1" applyBorder="1" applyAlignment="1" applyProtection="1">
      <alignment horizontal="center" vertical="center"/>
      <protection locked="0"/>
    </xf>
    <xf numFmtId="0" fontId="1" fillId="4" borderId="157" xfId="0" applyFont="1" applyFill="1" applyBorder="1" applyAlignment="1" applyProtection="1">
      <alignment horizontal="center"/>
      <protection locked="0"/>
    </xf>
    <xf numFmtId="3" fontId="29" fillId="3" borderId="9" xfId="0" applyNumberFormat="1" applyFont="1" applyFill="1" applyBorder="1" applyAlignment="1" applyProtection="1">
      <alignment horizontal="center" vertical="center" wrapText="1"/>
      <protection locked="0"/>
    </xf>
    <xf numFmtId="3" fontId="29" fillId="3" borderId="93" xfId="0" applyNumberFormat="1" applyFont="1" applyFill="1" applyBorder="1" applyAlignment="1" applyProtection="1">
      <alignment horizontal="center" vertical="center" wrapText="1"/>
      <protection locked="0"/>
    </xf>
    <xf numFmtId="0" fontId="17" fillId="3" borderId="155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2" fillId="3" borderId="155" xfId="0" applyFont="1" applyFill="1" applyBorder="1" applyAlignment="1" applyProtection="1">
      <alignment horizontal="center" vertical="center"/>
      <protection locked="0"/>
    </xf>
    <xf numFmtId="3" fontId="1" fillId="3" borderId="119" xfId="0" applyNumberFormat="1" applyFont="1" applyFill="1" applyBorder="1" applyAlignment="1" applyProtection="1">
      <alignment horizontal="center"/>
      <protection locked="0"/>
    </xf>
    <xf numFmtId="3" fontId="1" fillId="3" borderId="78" xfId="0" applyNumberFormat="1" applyFont="1" applyFill="1" applyBorder="1" applyAlignment="1" applyProtection="1">
      <alignment horizontal="center"/>
      <protection locked="0"/>
    </xf>
    <xf numFmtId="3" fontId="1" fillId="3" borderId="78" xfId="0" applyNumberFormat="1" applyFont="1" applyFill="1" applyBorder="1" applyAlignment="1" applyProtection="1">
      <alignment horizontal="center" vertical="center"/>
      <protection locked="0"/>
    </xf>
    <xf numFmtId="3" fontId="1" fillId="3" borderId="64" xfId="0" applyNumberFormat="1" applyFont="1" applyFill="1" applyBorder="1" applyAlignment="1" applyProtection="1">
      <alignment horizontal="center" vertical="center"/>
      <protection locked="0"/>
    </xf>
    <xf numFmtId="0" fontId="19" fillId="0" borderId="0" xfId="0" applyFont="1" applyBorder="1" applyAlignment="1" applyProtection="1">
      <alignment horizontal="center" vertical="center"/>
      <protection locked="0"/>
    </xf>
    <xf numFmtId="3" fontId="29" fillId="3" borderId="125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Border="1" applyProtection="1">
      <protection locked="0"/>
    </xf>
    <xf numFmtId="3" fontId="1" fillId="2" borderId="119" xfId="0" applyNumberFormat="1" applyFont="1" applyFill="1" applyBorder="1" applyAlignment="1" applyProtection="1">
      <alignment horizontal="center" vertical="center"/>
      <protection locked="0"/>
    </xf>
    <xf numFmtId="3" fontId="1" fillId="2" borderId="78" xfId="0" applyNumberFormat="1" applyFont="1" applyFill="1" applyBorder="1" applyAlignment="1" applyProtection="1">
      <alignment horizontal="center" vertical="center"/>
      <protection locked="0"/>
    </xf>
    <xf numFmtId="3" fontId="1" fillId="3" borderId="61" xfId="0" applyNumberFormat="1" applyFont="1" applyFill="1" applyBorder="1" applyAlignment="1" applyProtection="1">
      <alignment horizontal="center" vertical="center"/>
      <protection locked="0"/>
    </xf>
    <xf numFmtId="3" fontId="1" fillId="3" borderId="48" xfId="0" applyNumberFormat="1" applyFont="1" applyFill="1" applyBorder="1" applyAlignment="1" applyProtection="1">
      <alignment horizontal="center" vertical="center"/>
      <protection locked="0"/>
    </xf>
    <xf numFmtId="3" fontId="1" fillId="3" borderId="56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Border="1" applyProtection="1">
      <protection locked="0"/>
    </xf>
    <xf numFmtId="0" fontId="27" fillId="0" borderId="0" xfId="0" applyFont="1" applyFill="1" applyBorder="1" applyProtection="1">
      <protection locked="0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3" borderId="31" xfId="0" applyFont="1" applyFill="1" applyBorder="1" applyAlignment="1" applyProtection="1">
      <alignment horizontal="center" vertical="center" wrapText="1"/>
      <protection locked="0"/>
    </xf>
    <xf numFmtId="3" fontId="2" fillId="3" borderId="93" xfId="0" applyNumberFormat="1" applyFont="1" applyFill="1" applyBorder="1" applyAlignment="1" applyProtection="1">
      <alignment horizontal="center" vertical="center"/>
      <protection locked="0"/>
    </xf>
    <xf numFmtId="3" fontId="3" fillId="3" borderId="93" xfId="0" applyNumberFormat="1" applyFont="1" applyFill="1" applyBorder="1" applyAlignment="1" applyProtection="1">
      <alignment horizontal="center" vertical="center"/>
      <protection locked="0"/>
    </xf>
    <xf numFmtId="0" fontId="0" fillId="0" borderId="120" xfId="0" applyFill="1" applyBorder="1" applyAlignment="1" applyProtection="1">
      <alignment horizontal="center" vertical="center"/>
      <protection locked="0"/>
    </xf>
    <xf numFmtId="3" fontId="3" fillId="9" borderId="118" xfId="0" applyNumberFormat="1" applyFont="1" applyFill="1" applyBorder="1" applyAlignment="1" applyProtection="1">
      <alignment horizontal="center" vertical="center"/>
      <protection locked="0"/>
    </xf>
    <xf numFmtId="3" fontId="3" fillId="9" borderId="156" xfId="0" applyNumberFormat="1" applyFont="1" applyFill="1" applyBorder="1" applyAlignment="1" applyProtection="1">
      <alignment horizontal="center" vertical="center"/>
      <protection locked="0"/>
    </xf>
    <xf numFmtId="3" fontId="0" fillId="0" borderId="158" xfId="0" applyNumberFormat="1" applyBorder="1"/>
    <xf numFmtId="3" fontId="0" fillId="2" borderId="158" xfId="0" applyNumberFormat="1" applyFill="1" applyBorder="1"/>
    <xf numFmtId="3" fontId="0" fillId="0" borderId="160" xfId="0" applyNumberFormat="1" applyBorder="1"/>
    <xf numFmtId="3" fontId="0" fillId="0" borderId="160" xfId="0" applyNumberFormat="1" applyFont="1" applyBorder="1" applyAlignment="1">
      <alignment horizontal="right"/>
    </xf>
    <xf numFmtId="3" fontId="1" fillId="0" borderId="160" xfId="0" applyNumberFormat="1" applyFont="1" applyBorder="1"/>
    <xf numFmtId="3" fontId="0" fillId="0" borderId="159" xfId="0" applyNumberFormat="1" applyBorder="1"/>
    <xf numFmtId="3" fontId="0" fillId="0" borderId="158" xfId="0" applyNumberFormat="1" applyBorder="1" applyAlignment="1">
      <alignment horizontal="left"/>
    </xf>
    <xf numFmtId="3" fontId="0" fillId="0" borderId="160" xfId="0" applyNumberFormat="1" applyBorder="1" applyAlignment="1">
      <alignment horizontal="left"/>
    </xf>
    <xf numFmtId="0" fontId="0" fillId="0" borderId="0" xfId="0" applyAlignment="1">
      <alignment horizontal="left"/>
    </xf>
    <xf numFmtId="165" fontId="0" fillId="0" borderId="158" xfId="0" applyNumberFormat="1" applyBorder="1"/>
    <xf numFmtId="3" fontId="0" fillId="0" borderId="160" xfId="0" applyNumberFormat="1" applyBorder="1" applyAlignment="1">
      <alignment wrapText="1"/>
    </xf>
    <xf numFmtId="165" fontId="0" fillId="0" borderId="159" xfId="0" applyNumberFormat="1" applyBorder="1"/>
    <xf numFmtId="3" fontId="27" fillId="0" borderId="0" xfId="0" applyNumberFormat="1" applyFont="1" applyFill="1" applyBorder="1" applyProtection="1">
      <protection locked="0"/>
    </xf>
    <xf numFmtId="0" fontId="12" fillId="0" borderId="0" xfId="0" applyFont="1" applyFill="1" applyBorder="1" applyAlignment="1" applyProtection="1">
      <alignment horizontal="center"/>
      <protection locked="0"/>
    </xf>
    <xf numFmtId="3" fontId="12" fillId="0" borderId="0" xfId="0" applyNumberFormat="1" applyFont="1" applyFill="1" applyAlignment="1" applyProtection="1">
      <alignment horizontal="center"/>
      <protection locked="0"/>
    </xf>
    <xf numFmtId="0" fontId="0" fillId="0" borderId="120" xfId="0" applyFill="1" applyBorder="1" applyAlignment="1" applyProtection="1">
      <alignment horizontal="center"/>
      <protection locked="0"/>
    </xf>
    <xf numFmtId="0" fontId="0" fillId="0" borderId="162" xfId="0" applyFill="1" applyBorder="1" applyAlignment="1" applyProtection="1">
      <alignment horizontal="center" vertical="center"/>
      <protection locked="0"/>
    </xf>
    <xf numFmtId="0" fontId="0" fillId="0" borderId="161" xfId="0" applyFill="1" applyBorder="1" applyAlignment="1" applyProtection="1">
      <alignment horizontal="center" vertical="center"/>
      <protection locked="0"/>
    </xf>
    <xf numFmtId="3" fontId="0" fillId="2" borderId="122" xfId="0" applyNumberFormat="1" applyFill="1" applyBorder="1" applyAlignment="1" applyProtection="1">
      <alignment horizontal="center" vertical="center"/>
      <protection locked="0"/>
    </xf>
    <xf numFmtId="3" fontId="1" fillId="2" borderId="61" xfId="0" applyNumberFormat="1" applyFont="1" applyFill="1" applyBorder="1" applyAlignment="1" applyProtection="1">
      <alignment horizontal="center" vertical="center"/>
      <protection locked="0"/>
    </xf>
    <xf numFmtId="0" fontId="0" fillId="0" borderId="120" xfId="0" applyFont="1" applyFill="1" applyBorder="1" applyAlignment="1" applyProtection="1">
      <alignment horizontal="center" vertical="center"/>
      <protection locked="0"/>
    </xf>
    <xf numFmtId="0" fontId="0" fillId="2" borderId="121" xfId="0" applyFont="1" applyFill="1" applyBorder="1" applyAlignment="1" applyProtection="1">
      <alignment horizontal="center" vertical="center"/>
      <protection locked="0"/>
    </xf>
    <xf numFmtId="0" fontId="0" fillId="2" borderId="69" xfId="0" applyFont="1" applyFill="1" applyBorder="1" applyAlignment="1" applyProtection="1">
      <alignment horizontal="center" vertical="center"/>
      <protection locked="0"/>
    </xf>
    <xf numFmtId="0" fontId="0" fillId="0" borderId="122" xfId="0" applyFont="1" applyFill="1" applyBorder="1" applyAlignment="1" applyProtection="1">
      <alignment horizontal="center" vertical="center"/>
      <protection locked="0"/>
    </xf>
    <xf numFmtId="0" fontId="0" fillId="0" borderId="61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3" fontId="0" fillId="0" borderId="164" xfId="0" applyNumberFormat="1" applyFont="1" applyBorder="1" applyAlignment="1">
      <alignment horizontal="right"/>
    </xf>
    <xf numFmtId="3" fontId="0" fillId="0" borderId="165" xfId="0" applyNumberFormat="1" applyBorder="1"/>
    <xf numFmtId="3" fontId="0" fillId="2" borderId="165" xfId="0" applyNumberFormat="1" applyFill="1" applyBorder="1"/>
    <xf numFmtId="3" fontId="0" fillId="0" borderId="163" xfId="0" applyNumberFormat="1" applyBorder="1"/>
    <xf numFmtId="3" fontId="1" fillId="0" borderId="164" xfId="0" applyNumberFormat="1" applyFont="1" applyBorder="1"/>
    <xf numFmtId="3" fontId="0" fillId="0" borderId="167" xfId="0" applyNumberFormat="1" applyFont="1" applyBorder="1" applyAlignment="1">
      <alignment horizontal="right"/>
    </xf>
    <xf numFmtId="3" fontId="1" fillId="0" borderId="167" xfId="0" applyNumberFormat="1" applyFont="1" applyBorder="1"/>
    <xf numFmtId="0" fontId="0" fillId="3" borderId="67" xfId="0" applyFont="1" applyFill="1" applyBorder="1" applyAlignment="1" applyProtection="1">
      <alignment horizontal="center" vertical="center"/>
      <protection locked="0"/>
    </xf>
    <xf numFmtId="0" fontId="0" fillId="2" borderId="120" xfId="0" applyFont="1" applyFill="1" applyBorder="1" applyAlignment="1" applyProtection="1">
      <alignment horizontal="center" vertical="center"/>
      <protection locked="0"/>
    </xf>
    <xf numFmtId="0" fontId="0" fillId="2" borderId="48" xfId="0" applyFont="1" applyFill="1" applyBorder="1" applyAlignment="1" applyProtection="1">
      <alignment horizontal="center" vertical="center"/>
      <protection locked="0"/>
    </xf>
    <xf numFmtId="0" fontId="0" fillId="2" borderId="67" xfId="0" applyFont="1" applyFill="1" applyBorder="1" applyAlignment="1" applyProtection="1">
      <alignment horizontal="center" vertical="center"/>
      <protection locked="0"/>
    </xf>
    <xf numFmtId="0" fontId="0" fillId="0" borderId="0" xfId="0" applyFont="1" applyBorder="1" applyAlignment="1">
      <alignment horizontal="center"/>
    </xf>
    <xf numFmtId="3" fontId="3" fillId="0" borderId="0" xfId="0" quotePrefix="1" applyNumberFormat="1" applyFont="1" applyAlignment="1" applyProtection="1">
      <alignment horizontal="center"/>
      <protection locked="0"/>
    </xf>
    <xf numFmtId="3" fontId="9" fillId="4" borderId="36" xfId="0" applyNumberFormat="1" applyFont="1" applyFill="1" applyBorder="1" applyAlignment="1" applyProtection="1">
      <alignment horizontal="center" vertical="center"/>
      <protection locked="0"/>
    </xf>
    <xf numFmtId="3" fontId="9" fillId="4" borderId="130" xfId="0" applyNumberFormat="1" applyFont="1" applyFill="1" applyBorder="1" applyAlignment="1" applyProtection="1">
      <alignment horizontal="center" vertical="center"/>
      <protection locked="0"/>
    </xf>
    <xf numFmtId="3" fontId="9" fillId="4" borderId="132" xfId="0" applyNumberFormat="1" applyFont="1" applyFill="1" applyBorder="1" applyAlignment="1" applyProtection="1">
      <alignment horizontal="center" vertical="center"/>
      <protection locked="0"/>
    </xf>
    <xf numFmtId="3" fontId="9" fillId="2" borderId="132" xfId="0" applyNumberFormat="1" applyFont="1" applyFill="1" applyBorder="1" applyAlignment="1" applyProtection="1">
      <alignment horizontal="center" vertical="center"/>
      <protection locked="0"/>
    </xf>
    <xf numFmtId="3" fontId="9" fillId="4" borderId="70" xfId="0" applyNumberFormat="1" applyFont="1" applyFill="1" applyBorder="1" applyAlignment="1" applyProtection="1">
      <alignment horizontal="center" vertical="center"/>
    </xf>
    <xf numFmtId="3" fontId="9" fillId="4" borderId="62" xfId="0" applyNumberFormat="1" applyFont="1" applyFill="1" applyBorder="1" applyAlignment="1" applyProtection="1">
      <alignment horizontal="center" vertical="center"/>
    </xf>
    <xf numFmtId="3" fontId="9" fillId="2" borderId="62" xfId="0" applyNumberFormat="1" applyFont="1" applyFill="1" applyBorder="1" applyAlignment="1" applyProtection="1">
      <alignment horizontal="center" vertical="center"/>
    </xf>
    <xf numFmtId="3" fontId="9" fillId="2" borderId="153" xfId="0" applyNumberFormat="1" applyFont="1" applyFill="1" applyBorder="1" applyAlignment="1" applyProtection="1">
      <alignment horizontal="center" vertical="center"/>
    </xf>
    <xf numFmtId="3" fontId="9" fillId="2" borderId="70" xfId="0" applyNumberFormat="1" applyFont="1" applyFill="1" applyBorder="1" applyAlignment="1" applyProtection="1">
      <alignment horizontal="center" vertical="center"/>
    </xf>
    <xf numFmtId="3" fontId="9" fillId="4" borderId="68" xfId="0" applyNumberFormat="1" applyFont="1" applyFill="1" applyBorder="1" applyAlignment="1" applyProtection="1">
      <alignment horizontal="center" vertical="center"/>
    </xf>
    <xf numFmtId="3" fontId="1" fillId="0" borderId="0" xfId="0" applyNumberFormat="1" applyFont="1" applyBorder="1" applyAlignment="1" applyProtection="1">
      <alignment horizontal="center"/>
      <protection locked="0"/>
    </xf>
    <xf numFmtId="3" fontId="1" fillId="3" borderId="3" xfId="0" applyNumberFormat="1" applyFont="1" applyFill="1" applyBorder="1" applyAlignment="1" applyProtection="1">
      <alignment horizontal="center" vertical="center"/>
      <protection locked="0"/>
    </xf>
    <xf numFmtId="3" fontId="1" fillId="3" borderId="33" xfId="0" applyNumberFormat="1" applyFont="1" applyFill="1" applyBorder="1" applyAlignment="1" applyProtection="1">
      <alignment horizontal="center" vertical="center"/>
      <protection locked="0"/>
    </xf>
    <xf numFmtId="3" fontId="1" fillId="3" borderId="101" xfId="0" applyNumberFormat="1" applyFont="1" applyFill="1" applyBorder="1" applyAlignment="1" applyProtection="1">
      <alignment horizontal="center" vertical="center"/>
      <protection locked="0"/>
    </xf>
    <xf numFmtId="3" fontId="1" fillId="2" borderId="138" xfId="0" applyNumberFormat="1" applyFont="1" applyFill="1" applyBorder="1" applyAlignment="1" applyProtection="1">
      <alignment horizontal="center" vertical="center"/>
      <protection locked="0"/>
    </xf>
    <xf numFmtId="3" fontId="1" fillId="3" borderId="77" xfId="0" applyNumberFormat="1" applyFont="1" applyFill="1" applyBorder="1" applyAlignment="1" applyProtection="1">
      <alignment horizontal="center"/>
    </xf>
    <xf numFmtId="3" fontId="1" fillId="3" borderId="58" xfId="0" applyNumberFormat="1" applyFont="1" applyFill="1" applyBorder="1" applyAlignment="1" applyProtection="1">
      <alignment horizontal="center"/>
    </xf>
    <xf numFmtId="3" fontId="1" fillId="2" borderId="58" xfId="0" applyNumberFormat="1" applyFont="1" applyFill="1" applyBorder="1" applyAlignment="1" applyProtection="1">
      <alignment horizontal="center"/>
    </xf>
    <xf numFmtId="3" fontId="1" fillId="3" borderId="61" xfId="0" applyNumberFormat="1" applyFont="1" applyFill="1" applyBorder="1" applyAlignment="1" applyProtection="1">
      <alignment horizontal="center"/>
    </xf>
    <xf numFmtId="3" fontId="1" fillId="3" borderId="78" xfId="0" applyNumberFormat="1" applyFont="1" applyFill="1" applyBorder="1" applyAlignment="1" applyProtection="1">
      <alignment horizontal="center"/>
    </xf>
    <xf numFmtId="3" fontId="1" fillId="3" borderId="67" xfId="0" applyNumberFormat="1" applyFont="1" applyFill="1" applyBorder="1" applyAlignment="1" applyProtection="1">
      <alignment horizontal="center"/>
    </xf>
    <xf numFmtId="3" fontId="1" fillId="2" borderId="67" xfId="0" applyNumberFormat="1" applyFont="1" applyFill="1" applyBorder="1" applyAlignment="1" applyProtection="1">
      <alignment horizontal="center"/>
    </xf>
    <xf numFmtId="3" fontId="0" fillId="0" borderId="0" xfId="0" applyNumberFormat="1" applyFill="1" applyBorder="1" applyProtection="1">
      <protection locked="0"/>
    </xf>
    <xf numFmtId="3" fontId="1" fillId="3" borderId="137" xfId="0" applyNumberFormat="1" applyFont="1" applyFill="1" applyBorder="1" applyAlignment="1" applyProtection="1">
      <alignment horizontal="center" vertical="center"/>
      <protection locked="0"/>
    </xf>
    <xf numFmtId="3" fontId="1" fillId="3" borderId="133" xfId="0" applyNumberFormat="1" applyFont="1" applyFill="1" applyBorder="1" applyAlignment="1" applyProtection="1">
      <alignment horizontal="center" vertical="center"/>
      <protection locked="0"/>
    </xf>
    <xf numFmtId="3" fontId="1" fillId="2" borderId="140" xfId="0" applyNumberFormat="1" applyFont="1" applyFill="1" applyBorder="1" applyAlignment="1" applyProtection="1">
      <alignment horizontal="center" vertical="center"/>
      <protection locked="0"/>
    </xf>
    <xf numFmtId="3" fontId="20" fillId="0" borderId="0" xfId="0" applyNumberFormat="1" applyFont="1" applyFill="1" applyAlignment="1" applyProtection="1">
      <alignment horizontal="left"/>
      <protection locked="0"/>
    </xf>
    <xf numFmtId="3" fontId="17" fillId="3" borderId="155" xfId="0" applyNumberFormat="1" applyFont="1" applyFill="1" applyBorder="1" applyAlignment="1" applyProtection="1">
      <alignment horizontal="center" vertical="center" wrapText="1"/>
      <protection locked="0"/>
    </xf>
    <xf numFmtId="3" fontId="1" fillId="3" borderId="119" xfId="0" applyNumberFormat="1" applyFont="1" applyFill="1" applyBorder="1" applyAlignment="1" applyProtection="1">
      <alignment horizontal="center" vertical="center"/>
      <protection locked="0"/>
    </xf>
    <xf numFmtId="3" fontId="27" fillId="0" borderId="0" xfId="0" applyNumberFormat="1" applyFont="1" applyFill="1" applyAlignment="1" applyProtection="1">
      <alignment horizontal="center"/>
      <protection locked="0"/>
    </xf>
    <xf numFmtId="3" fontId="14" fillId="0" borderId="159" xfId="0" applyNumberFormat="1" applyFont="1" applyBorder="1" applyAlignment="1">
      <alignment horizontal="center"/>
    </xf>
    <xf numFmtId="3" fontId="14" fillId="0" borderId="163" xfId="0" applyNumberFormat="1" applyFont="1" applyBorder="1" applyAlignment="1">
      <alignment horizontal="center"/>
    </xf>
    <xf numFmtId="3" fontId="0" fillId="0" borderId="166" xfId="0" applyNumberFormat="1" applyFont="1" applyBorder="1" applyAlignment="1">
      <alignment horizontal="right"/>
    </xf>
    <xf numFmtId="9" fontId="14" fillId="9" borderId="159" xfId="0" applyNumberFormat="1" applyFont="1" applyFill="1" applyBorder="1" applyAlignment="1">
      <alignment horizontal="center"/>
    </xf>
    <xf numFmtId="3" fontId="0" fillId="0" borderId="159" xfId="0" applyNumberFormat="1" applyBorder="1" applyAlignment="1">
      <alignment horizontal="center"/>
    </xf>
    <xf numFmtId="3" fontId="14" fillId="0" borderId="166" xfId="0" applyNumberFormat="1" applyFont="1" applyBorder="1" applyAlignment="1">
      <alignment horizontal="center"/>
    </xf>
    <xf numFmtId="3" fontId="14" fillId="9" borderId="159" xfId="0" applyNumberFormat="1" applyFont="1" applyFill="1" applyBorder="1" applyAlignment="1">
      <alignment horizontal="center"/>
    </xf>
    <xf numFmtId="3" fontId="14" fillId="0" borderId="159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9" fontId="12" fillId="0" borderId="0" xfId="0" applyNumberFormat="1" applyFont="1" applyFill="1" applyAlignment="1" applyProtection="1">
      <alignment horizontal="center"/>
      <protection locked="0"/>
    </xf>
    <xf numFmtId="3" fontId="12" fillId="0" borderId="7" xfId="0" applyNumberFormat="1" applyFont="1" applyFill="1" applyBorder="1" applyAlignment="1" applyProtection="1">
      <alignment wrapText="1"/>
      <protection locked="0"/>
    </xf>
    <xf numFmtId="0" fontId="1" fillId="2" borderId="157" xfId="0" applyFont="1" applyFill="1" applyBorder="1" applyAlignment="1" applyProtection="1">
      <alignment horizontal="center"/>
      <protection locked="0"/>
    </xf>
    <xf numFmtId="0" fontId="0" fillId="0" borderId="0" xfId="0" applyAlignment="1">
      <alignment wrapText="1"/>
    </xf>
    <xf numFmtId="9" fontId="0" fillId="0" borderId="0" xfId="0" applyNumberFormat="1"/>
    <xf numFmtId="3" fontId="2" fillId="0" borderId="0" xfId="0" applyNumberFormat="1" applyFont="1" applyAlignment="1" applyProtection="1">
      <alignment horizontal="right" vertical="center"/>
      <protection locked="0"/>
    </xf>
    <xf numFmtId="3" fontId="12" fillId="0" borderId="160" xfId="0" applyNumberFormat="1" applyFont="1" applyBorder="1"/>
    <xf numFmtId="3" fontId="12" fillId="0" borderId="160" xfId="0" applyNumberFormat="1" applyFont="1" applyBorder="1" applyAlignment="1">
      <alignment horizontal="left"/>
    </xf>
    <xf numFmtId="0" fontId="12" fillId="0" borderId="0" xfId="0" applyFont="1"/>
    <xf numFmtId="3" fontId="12" fillId="0" borderId="158" xfId="0" applyNumberFormat="1" applyFont="1" applyBorder="1"/>
    <xf numFmtId="3" fontId="12" fillId="0" borderId="158" xfId="0" applyNumberFormat="1" applyFont="1" applyBorder="1" applyAlignment="1">
      <alignment horizontal="left"/>
    </xf>
    <xf numFmtId="3" fontId="12" fillId="0" borderId="159" xfId="0" applyNumberFormat="1" applyFont="1" applyBorder="1"/>
    <xf numFmtId="3" fontId="12" fillId="0" borderId="159" xfId="0" applyNumberFormat="1" applyFont="1" applyBorder="1" applyAlignment="1">
      <alignment horizontal="left"/>
    </xf>
    <xf numFmtId="0" fontId="2" fillId="0" borderId="0" xfId="0" applyFont="1" applyAlignment="1" applyProtection="1">
      <alignment horizontal="center" wrapText="1"/>
      <protection locked="0"/>
    </xf>
    <xf numFmtId="3" fontId="34" fillId="0" borderId="0" xfId="0" applyNumberFormat="1" applyFont="1" applyProtection="1">
      <protection locked="0"/>
    </xf>
    <xf numFmtId="16" fontId="1" fillId="5" borderId="61" xfId="0" applyNumberFormat="1" applyFont="1" applyFill="1" applyBorder="1" applyAlignment="1" applyProtection="1">
      <alignment horizontal="center" vertical="center"/>
      <protection locked="0"/>
    </xf>
    <xf numFmtId="3" fontId="3" fillId="0" borderId="0" xfId="0" quotePrefix="1" applyNumberFormat="1" applyFont="1" applyAlignment="1" applyProtection="1">
      <alignment horizontal="left"/>
      <protection locked="0"/>
    </xf>
    <xf numFmtId="3" fontId="3" fillId="3" borderId="17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0" xfId="0" applyFont="1" applyProtection="1">
      <protection locked="0"/>
    </xf>
    <xf numFmtId="0" fontId="7" fillId="0" borderId="0" xfId="0" applyFont="1" applyFill="1" applyAlignment="1" applyProtection="1">
      <alignment horizontal="center"/>
      <protection locked="0"/>
    </xf>
    <xf numFmtId="3" fontId="7" fillId="0" borderId="0" xfId="0" applyNumberFormat="1" applyFont="1" applyFill="1" applyAlignment="1" applyProtection="1">
      <alignment horizontal="center"/>
      <protection locked="0"/>
    </xf>
    <xf numFmtId="0" fontId="0" fillId="0" borderId="120" xfId="0" applyBorder="1" applyAlignment="1" applyProtection="1">
      <alignment horizontal="center"/>
      <protection locked="0"/>
    </xf>
    <xf numFmtId="9" fontId="34" fillId="0" borderId="0" xfId="0" applyNumberFormat="1" applyFont="1" applyProtection="1">
      <protection locked="0"/>
    </xf>
    <xf numFmtId="0" fontId="0" fillId="0" borderId="71" xfId="0" applyBorder="1" applyAlignment="1" applyProtection="1">
      <alignment horizontal="center" vertical="center"/>
      <protection locked="0"/>
    </xf>
    <xf numFmtId="0" fontId="0" fillId="0" borderId="69" xfId="0" applyBorder="1" applyAlignment="1" applyProtection="1">
      <alignment horizontal="center" vertical="center"/>
      <protection locked="0"/>
    </xf>
    <xf numFmtId="0" fontId="0" fillId="0" borderId="121" xfId="0" applyFont="1" applyFill="1" applyBorder="1" applyAlignment="1" applyProtection="1">
      <alignment horizontal="center" vertical="center"/>
      <protection locked="0"/>
    </xf>
    <xf numFmtId="0" fontId="0" fillId="0" borderId="69" xfId="0" applyFont="1" applyFill="1" applyBorder="1" applyAlignment="1" applyProtection="1">
      <alignment horizontal="center" vertical="center"/>
      <protection locked="0"/>
    </xf>
    <xf numFmtId="0" fontId="0" fillId="3" borderId="75" xfId="0" applyFont="1" applyFill="1" applyBorder="1" applyAlignment="1" applyProtection="1">
      <alignment horizontal="center" vertical="center"/>
      <protection locked="0"/>
    </xf>
    <xf numFmtId="16" fontId="1" fillId="0" borderId="170" xfId="0" applyNumberFormat="1" applyFont="1" applyBorder="1" applyAlignment="1" applyProtection="1">
      <alignment horizontal="center" vertical="center"/>
      <protection locked="0"/>
    </xf>
    <xf numFmtId="0" fontId="0" fillId="2" borderId="171" xfId="0" applyFill="1" applyBorder="1" applyAlignment="1" applyProtection="1">
      <alignment horizontal="center" vertical="center"/>
      <protection locked="0"/>
    </xf>
    <xf numFmtId="0" fontId="1" fillId="2" borderId="172" xfId="0" applyFont="1" applyFill="1" applyBorder="1" applyAlignment="1" applyProtection="1">
      <alignment horizontal="center" vertical="center"/>
      <protection locked="0"/>
    </xf>
    <xf numFmtId="16" fontId="1" fillId="0" borderId="67" xfId="0" applyNumberFormat="1" applyFont="1" applyBorder="1" applyAlignment="1" applyProtection="1">
      <alignment horizontal="center" vertical="center"/>
      <protection locked="0"/>
    </xf>
    <xf numFmtId="0" fontId="1" fillId="4" borderId="48" xfId="0" applyFont="1" applyFill="1" applyBorder="1" applyAlignment="1" applyProtection="1">
      <alignment horizontal="center" vertical="center"/>
    </xf>
    <xf numFmtId="0" fontId="0" fillId="0" borderId="61" xfId="0" applyBorder="1" applyProtection="1">
      <protection locked="0"/>
    </xf>
    <xf numFmtId="0" fontId="1" fillId="2" borderId="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171" xfId="0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Border="1" applyAlignment="1" applyProtection="1">
      <alignment horizontal="center" vertical="center"/>
      <protection locked="0"/>
    </xf>
    <xf numFmtId="0" fontId="0" fillId="2" borderId="172" xfId="0" applyFont="1" applyFill="1" applyBorder="1" applyAlignment="1" applyProtection="1">
      <alignment horizontal="center" vertical="center"/>
      <protection locked="0"/>
    </xf>
    <xf numFmtId="16" fontId="1" fillId="2" borderId="138" xfId="0" applyNumberFormat="1" applyFont="1" applyFill="1" applyBorder="1" applyAlignment="1" applyProtection="1">
      <alignment horizontal="center" vertical="center"/>
      <protection locked="0"/>
    </xf>
    <xf numFmtId="3" fontId="9" fillId="3" borderId="67" xfId="0" applyNumberFormat="1" applyFont="1" applyFill="1" applyBorder="1" applyAlignment="1" applyProtection="1">
      <alignment horizontal="center" vertical="center"/>
      <protection locked="0"/>
    </xf>
    <xf numFmtId="0" fontId="1" fillId="4" borderId="123" xfId="0" applyFont="1" applyFill="1" applyBorder="1" applyAlignment="1" applyProtection="1">
      <alignment horizontal="center" vertical="center"/>
    </xf>
    <xf numFmtId="0" fontId="1" fillId="4" borderId="59" xfId="0" applyFont="1" applyFill="1" applyBorder="1" applyAlignment="1" applyProtection="1">
      <alignment horizontal="center" vertical="center"/>
    </xf>
    <xf numFmtId="0" fontId="9" fillId="0" borderId="173" xfId="0" applyFont="1" applyBorder="1" applyAlignment="1" applyProtection="1">
      <alignment horizontal="center" vertical="center"/>
      <protection locked="0"/>
    </xf>
    <xf numFmtId="0" fontId="9" fillId="0" borderId="174" xfId="0" applyFont="1" applyBorder="1" applyAlignment="1" applyProtection="1">
      <alignment horizontal="center" vertical="center"/>
      <protection locked="0"/>
    </xf>
    <xf numFmtId="0" fontId="9" fillId="0" borderId="174" xfId="0" applyFont="1" applyBorder="1" applyAlignment="1" applyProtection="1">
      <alignment horizontal="center" vertical="center" wrapText="1"/>
      <protection locked="0"/>
    </xf>
    <xf numFmtId="0" fontId="9" fillId="0" borderId="175" xfId="0" applyFont="1" applyBorder="1" applyAlignment="1" applyProtection="1">
      <alignment horizontal="center" vertical="center" wrapText="1"/>
      <protection locked="0"/>
    </xf>
    <xf numFmtId="0" fontId="9" fillId="0" borderId="176" xfId="0" applyFont="1" applyBorder="1" applyAlignment="1" applyProtection="1">
      <alignment horizontal="center" vertical="center"/>
      <protection locked="0"/>
    </xf>
    <xf numFmtId="0" fontId="9" fillId="0" borderId="177" xfId="0" applyFont="1" applyBorder="1" applyAlignment="1" applyProtection="1">
      <alignment horizontal="center" vertical="center"/>
      <protection locked="0"/>
    </xf>
    <xf numFmtId="0" fontId="9" fillId="0" borderId="178" xfId="0" applyFont="1" applyBorder="1" applyAlignment="1" applyProtection="1">
      <alignment horizontal="center" vertical="center"/>
      <protection locked="0"/>
    </xf>
    <xf numFmtId="0" fontId="9" fillId="0" borderId="179" xfId="0" applyFont="1" applyBorder="1" applyAlignment="1" applyProtection="1">
      <alignment horizontal="center" vertical="center"/>
      <protection locked="0"/>
    </xf>
    <xf numFmtId="0" fontId="9" fillId="0" borderId="180" xfId="0" applyFont="1" applyBorder="1" applyAlignment="1" applyProtection="1">
      <alignment horizontal="center" vertical="center"/>
      <protection locked="0"/>
    </xf>
    <xf numFmtId="0" fontId="9" fillId="0" borderId="181" xfId="0" applyFont="1" applyBorder="1" applyAlignment="1" applyProtection="1">
      <alignment horizontal="center" vertical="center"/>
      <protection locked="0"/>
    </xf>
    <xf numFmtId="0" fontId="9" fillId="2" borderId="179" xfId="0" applyFont="1" applyFill="1" applyBorder="1" applyAlignment="1" applyProtection="1">
      <alignment horizontal="center" vertical="center"/>
      <protection locked="0"/>
    </xf>
    <xf numFmtId="0" fontId="9" fillId="2" borderId="180" xfId="0" applyFont="1" applyFill="1" applyBorder="1" applyAlignment="1" applyProtection="1">
      <alignment horizontal="center" vertical="center"/>
      <protection locked="0"/>
    </xf>
    <xf numFmtId="0" fontId="9" fillId="2" borderId="181" xfId="0" applyFont="1" applyFill="1" applyBorder="1" applyAlignment="1" applyProtection="1">
      <alignment horizontal="center" vertical="center"/>
      <protection locked="0"/>
    </xf>
    <xf numFmtId="3" fontId="9" fillId="0" borderId="179" xfId="0" applyNumberFormat="1" applyFont="1" applyBorder="1" applyAlignment="1" applyProtection="1">
      <alignment horizontal="center" vertical="center"/>
      <protection locked="0"/>
    </xf>
    <xf numFmtId="3" fontId="9" fillId="0" borderId="180" xfId="0" applyNumberFormat="1" applyFont="1" applyBorder="1" applyAlignment="1" applyProtection="1">
      <alignment horizontal="center" vertical="center"/>
      <protection locked="0"/>
    </xf>
    <xf numFmtId="3" fontId="9" fillId="0" borderId="181" xfId="0" applyNumberFormat="1" applyFont="1" applyBorder="1" applyAlignment="1" applyProtection="1">
      <alignment horizontal="center" vertical="center"/>
      <protection locked="0"/>
    </xf>
    <xf numFmtId="3" fontId="9" fillId="0" borderId="182" xfId="0" applyNumberFormat="1" applyFont="1" applyBorder="1" applyAlignment="1" applyProtection="1">
      <alignment horizontal="center" vertical="center"/>
    </xf>
    <xf numFmtId="3" fontId="9" fillId="0" borderId="183" xfId="0" applyNumberFormat="1" applyFont="1" applyBorder="1" applyAlignment="1" applyProtection="1">
      <alignment horizontal="center" vertical="center"/>
    </xf>
    <xf numFmtId="3" fontId="9" fillId="2" borderId="184" xfId="0" applyNumberFormat="1" applyFont="1" applyFill="1" applyBorder="1" applyAlignment="1" applyProtection="1">
      <alignment horizontal="center" vertical="center"/>
      <protection locked="0"/>
    </xf>
    <xf numFmtId="3" fontId="9" fillId="2" borderId="185" xfId="0" applyNumberFormat="1" applyFont="1" applyFill="1" applyBorder="1" applyAlignment="1" applyProtection="1">
      <alignment horizontal="center" vertical="center"/>
    </xf>
    <xf numFmtId="3" fontId="9" fillId="2" borderId="186" xfId="0" applyNumberFormat="1" applyFont="1" applyFill="1" applyBorder="1" applyAlignment="1" applyProtection="1">
      <alignment horizontal="center" vertical="center"/>
    </xf>
    <xf numFmtId="3" fontId="9" fillId="2" borderId="187" xfId="0" applyNumberFormat="1" applyFont="1" applyFill="1" applyBorder="1" applyAlignment="1" applyProtection="1">
      <alignment horizontal="center" vertical="center"/>
      <protection locked="0"/>
    </xf>
    <xf numFmtId="3" fontId="9" fillId="2" borderId="188" xfId="0" applyNumberFormat="1" applyFont="1" applyFill="1" applyBorder="1" applyAlignment="1" applyProtection="1">
      <alignment horizontal="center" vertical="center"/>
    </xf>
    <xf numFmtId="3" fontId="9" fillId="2" borderId="189" xfId="0" applyNumberFormat="1" applyFont="1" applyFill="1" applyBorder="1" applyAlignment="1" applyProtection="1">
      <alignment horizontal="center" vertical="center"/>
    </xf>
    <xf numFmtId="3" fontId="9" fillId="2" borderId="179" xfId="0" applyNumberFormat="1" applyFont="1" applyFill="1" applyBorder="1" applyAlignment="1" applyProtection="1">
      <alignment horizontal="center" vertical="center"/>
      <protection locked="0"/>
    </xf>
    <xf numFmtId="3" fontId="9" fillId="2" borderId="183" xfId="0" applyNumberFormat="1" applyFont="1" applyFill="1" applyBorder="1" applyAlignment="1" applyProtection="1">
      <alignment horizontal="center" vertical="center"/>
    </xf>
    <xf numFmtId="3" fontId="9" fillId="2" borderId="182" xfId="0" applyNumberFormat="1" applyFont="1" applyFill="1" applyBorder="1" applyAlignment="1" applyProtection="1">
      <alignment horizontal="center" vertical="center"/>
    </xf>
    <xf numFmtId="3" fontId="9" fillId="0" borderId="190" xfId="0" applyNumberFormat="1" applyFont="1" applyBorder="1" applyAlignment="1" applyProtection="1">
      <alignment horizontal="center" vertical="center"/>
    </xf>
    <xf numFmtId="3" fontId="9" fillId="2" borderId="190" xfId="0" applyNumberFormat="1" applyFont="1" applyFill="1" applyBorder="1" applyAlignment="1" applyProtection="1">
      <alignment horizontal="center" vertical="center"/>
    </xf>
    <xf numFmtId="3" fontId="1" fillId="5" borderId="191" xfId="0" applyNumberFormat="1" applyFont="1" applyFill="1" applyBorder="1" applyAlignment="1" applyProtection="1">
      <alignment horizontal="center" vertical="center"/>
    </xf>
    <xf numFmtId="3" fontId="1" fillId="5" borderId="192" xfId="0" applyNumberFormat="1" applyFont="1" applyFill="1" applyBorder="1" applyAlignment="1" applyProtection="1">
      <alignment horizontal="center" vertical="center"/>
    </xf>
    <xf numFmtId="3" fontId="1" fillId="5" borderId="193" xfId="0" applyNumberFormat="1" applyFont="1" applyFill="1" applyBorder="1" applyAlignment="1" applyProtection="1">
      <alignment horizontal="center" vertical="center"/>
    </xf>
    <xf numFmtId="3" fontId="33" fillId="0" borderId="0" xfId="0" applyNumberFormat="1" applyFont="1" applyFill="1" applyBorder="1" applyAlignment="1" applyProtection="1">
      <alignment horizontal="center" vertical="center"/>
      <protection locked="0"/>
    </xf>
    <xf numFmtId="3" fontId="0" fillId="0" borderId="71" xfId="0" applyNumberFormat="1" applyBorder="1" applyAlignment="1" applyProtection="1">
      <alignment horizontal="center" vertical="center"/>
      <protection locked="0"/>
    </xf>
    <xf numFmtId="3" fontId="1" fillId="4" borderId="141" xfId="0" applyNumberFormat="1" applyFont="1" applyFill="1" applyBorder="1" applyAlignment="1" applyProtection="1">
      <alignment horizontal="center"/>
      <protection locked="0"/>
    </xf>
    <xf numFmtId="3" fontId="1" fillId="4" borderId="120" xfId="0" applyNumberFormat="1" applyFont="1" applyFill="1" applyBorder="1" applyAlignment="1" applyProtection="1">
      <alignment horizontal="center"/>
      <protection locked="0"/>
    </xf>
    <xf numFmtId="3" fontId="1" fillId="2" borderId="120" xfId="0" applyNumberFormat="1" applyFont="1" applyFill="1" applyBorder="1" applyAlignment="1" applyProtection="1">
      <alignment horizontal="center"/>
      <protection locked="0"/>
    </xf>
    <xf numFmtId="3" fontId="1" fillId="4" borderId="123" xfId="0" applyNumberFormat="1" applyFont="1" applyFill="1" applyBorder="1" applyAlignment="1" applyProtection="1">
      <alignment horizontal="center"/>
      <protection locked="0"/>
    </xf>
    <xf numFmtId="0" fontId="1" fillId="4" borderId="194" xfId="0" applyFont="1" applyFill="1" applyBorder="1" applyAlignment="1" applyProtection="1">
      <alignment horizontal="center"/>
      <protection locked="0"/>
    </xf>
    <xf numFmtId="0" fontId="32" fillId="0" borderId="0" xfId="0" applyFont="1" applyFill="1" applyBorder="1" applyAlignment="1" applyProtection="1">
      <alignment vertical="center" wrapText="1"/>
      <protection locked="0"/>
    </xf>
    <xf numFmtId="9" fontId="8" fillId="0" borderId="0" xfId="0" applyNumberFormat="1" applyFont="1" applyProtection="1">
      <protection locked="0"/>
    </xf>
    <xf numFmtId="3" fontId="33" fillId="0" borderId="0" xfId="0" applyNumberFormat="1" applyFont="1" applyAlignment="1" applyProtection="1">
      <alignment horizontal="center" vertical="center"/>
      <protection locked="0"/>
    </xf>
    <xf numFmtId="0" fontId="32" fillId="0" borderId="24" xfId="0" applyFont="1" applyFill="1" applyBorder="1" applyAlignment="1" applyProtection="1">
      <alignment horizontal="center" vertical="center" wrapText="1"/>
      <protection locked="0"/>
    </xf>
    <xf numFmtId="3" fontId="33" fillId="0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wrapText="1"/>
      <protection locked="0"/>
    </xf>
    <xf numFmtId="3" fontId="2" fillId="0" borderId="0" xfId="0" applyNumberFormat="1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164" fontId="3" fillId="0" borderId="0" xfId="0" quotePrefix="1" applyNumberFormat="1" applyFont="1" applyAlignment="1" applyProtection="1">
      <alignment horizontal="center"/>
      <protection locked="0"/>
    </xf>
    <xf numFmtId="3" fontId="2" fillId="0" borderId="25" xfId="0" applyNumberFormat="1" applyFont="1" applyBorder="1" applyAlignment="1" applyProtection="1">
      <alignment horizontal="right" vertical="center"/>
      <protection locked="0"/>
    </xf>
    <xf numFmtId="3" fontId="2" fillId="0" borderId="0" xfId="0" applyNumberFormat="1" applyFont="1" applyAlignment="1" applyProtection="1">
      <alignment horizontal="right" vertical="center" wrapText="1"/>
      <protection locked="0"/>
    </xf>
    <xf numFmtId="3" fontId="2" fillId="0" borderId="25" xfId="0" applyNumberFormat="1" applyFont="1" applyBorder="1" applyAlignment="1" applyProtection="1">
      <alignment horizontal="right" vertical="center" wrapText="1"/>
      <protection locked="0"/>
    </xf>
    <xf numFmtId="0" fontId="2" fillId="0" borderId="0" xfId="0" applyFont="1" applyAlignment="1" applyProtection="1">
      <alignment horizontal="right" wrapText="1"/>
      <protection locked="0"/>
    </xf>
    <xf numFmtId="0" fontId="2" fillId="0" borderId="25" xfId="0" applyFont="1" applyBorder="1" applyAlignment="1" applyProtection="1">
      <alignment horizontal="right" wrapText="1"/>
      <protection locked="0"/>
    </xf>
    <xf numFmtId="0" fontId="19" fillId="0" borderId="0" xfId="0" applyFont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23" fillId="6" borderId="31" xfId="0" applyFont="1" applyFill="1" applyBorder="1" applyAlignment="1" applyProtection="1">
      <alignment horizontal="center" vertical="center"/>
      <protection locked="0"/>
    </xf>
    <xf numFmtId="0" fontId="23" fillId="6" borderId="17" xfId="0" applyFont="1" applyFill="1" applyBorder="1" applyAlignment="1" applyProtection="1">
      <alignment horizontal="center" vertical="center"/>
      <protection locked="0"/>
    </xf>
    <xf numFmtId="0" fontId="23" fillId="6" borderId="9" xfId="0" applyFont="1" applyFill="1" applyBorder="1" applyAlignment="1" applyProtection="1">
      <alignment horizontal="center" vertical="center"/>
      <protection locked="0"/>
    </xf>
    <xf numFmtId="0" fontId="23" fillId="6" borderId="93" xfId="0" applyFont="1" applyFill="1" applyBorder="1" applyAlignment="1" applyProtection="1">
      <alignment horizontal="center" vertical="center"/>
      <protection locked="0"/>
    </xf>
    <xf numFmtId="0" fontId="23" fillId="6" borderId="125" xfId="0" applyFont="1" applyFill="1" applyBorder="1" applyAlignment="1" applyProtection="1">
      <alignment horizontal="center" vertical="center"/>
      <protection locked="0"/>
    </xf>
    <xf numFmtId="3" fontId="8" fillId="0" borderId="0" xfId="0" applyNumberFormat="1" applyFont="1" applyAlignment="1" applyProtection="1">
      <alignment horizontal="left"/>
      <protection locked="0"/>
    </xf>
    <xf numFmtId="0" fontId="22" fillId="6" borderId="31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23" fillId="7" borderId="9" xfId="0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6" fillId="3" borderId="12" xfId="0" applyFont="1" applyFill="1" applyBorder="1" applyAlignment="1" applyProtection="1">
      <alignment horizontal="center" vertical="center"/>
      <protection locked="0"/>
    </xf>
    <xf numFmtId="0" fontId="6" fillId="3" borderId="7" xfId="0" applyFont="1" applyFill="1" applyBorder="1" applyAlignment="1" applyProtection="1">
      <alignment horizontal="center" vertical="center"/>
      <protection locked="0"/>
    </xf>
    <xf numFmtId="0" fontId="16" fillId="6" borderId="17" xfId="0" applyFont="1" applyFill="1" applyBorder="1" applyAlignment="1" applyProtection="1">
      <alignment horizontal="center" vertical="center"/>
      <protection locked="0"/>
    </xf>
    <xf numFmtId="0" fontId="16" fillId="6" borderId="9" xfId="0" applyFont="1" applyFill="1" applyBorder="1" applyAlignment="1" applyProtection="1">
      <alignment horizontal="center" vertical="center"/>
      <protection locked="0"/>
    </xf>
    <xf numFmtId="0" fontId="6" fillId="6" borderId="17" xfId="0" applyFont="1" applyFill="1" applyBorder="1" applyAlignment="1" applyProtection="1">
      <alignment horizontal="center" vertical="center"/>
      <protection locked="0"/>
    </xf>
    <xf numFmtId="0" fontId="6" fillId="6" borderId="9" xfId="0" applyFont="1" applyFill="1" applyBorder="1" applyAlignment="1" applyProtection="1">
      <alignment horizontal="center" vertical="center"/>
      <protection locked="0"/>
    </xf>
    <xf numFmtId="0" fontId="2" fillId="6" borderId="17" xfId="0" applyFont="1" applyFill="1" applyBorder="1" applyAlignment="1" applyProtection="1">
      <alignment horizontal="center" vertical="center" wrapText="1"/>
      <protection locked="0"/>
    </xf>
    <xf numFmtId="0" fontId="2" fillId="6" borderId="9" xfId="0" applyFont="1" applyFill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164" fontId="6" fillId="0" borderId="0" xfId="0" quotePrefix="1" applyNumberFormat="1" applyFont="1" applyAlignment="1" applyProtection="1">
      <alignment horizontal="center"/>
      <protection locked="0"/>
    </xf>
    <xf numFmtId="0" fontId="2" fillId="6" borderId="146" xfId="0" applyFont="1" applyFill="1" applyBorder="1" applyAlignment="1" applyProtection="1">
      <alignment horizontal="center" vertical="center" wrapText="1"/>
      <protection locked="0"/>
    </xf>
    <xf numFmtId="0" fontId="30" fillId="0" borderId="0" xfId="0" applyFont="1" applyFill="1" applyBorder="1" applyAlignment="1" applyProtection="1">
      <alignment horizontal="left" vertical="top" wrapText="1"/>
      <protection locked="0"/>
    </xf>
    <xf numFmtId="0" fontId="11" fillId="0" borderId="0" xfId="0" applyFont="1" applyFill="1" applyBorder="1" applyAlignment="1" applyProtection="1">
      <alignment horizontal="left" vertical="top" wrapText="1"/>
      <protection locked="0"/>
    </xf>
    <xf numFmtId="3" fontId="2" fillId="6" borderId="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Fill="1" applyBorder="1" applyAlignment="1" applyProtection="1">
      <alignment horizontal="left" wrapText="1"/>
      <protection locked="0"/>
    </xf>
    <xf numFmtId="3" fontId="0" fillId="0" borderId="7" xfId="0" applyNumberFormat="1" applyFont="1" applyFill="1" applyBorder="1" applyAlignment="1" applyProtection="1">
      <alignment horizontal="left" wrapText="1"/>
      <protection locked="0"/>
    </xf>
    <xf numFmtId="0" fontId="2" fillId="3" borderId="17" xfId="0" applyFont="1" applyFill="1" applyBorder="1" applyAlignment="1" applyProtection="1">
      <alignment horizontal="center" vertical="center" wrapText="1"/>
      <protection locked="0"/>
    </xf>
    <xf numFmtId="0" fontId="2" fillId="3" borderId="9" xfId="0" applyFont="1" applyFill="1" applyBorder="1" applyAlignment="1" applyProtection="1">
      <alignment horizontal="center" vertical="center" wrapText="1"/>
      <protection locked="0"/>
    </xf>
    <xf numFmtId="0" fontId="2" fillId="3" borderId="93" xfId="0" applyFont="1" applyFill="1" applyBorder="1" applyAlignment="1" applyProtection="1">
      <alignment horizontal="center" vertical="center" wrapText="1"/>
      <protection locked="0"/>
    </xf>
    <xf numFmtId="0" fontId="2" fillId="6" borderId="154" xfId="0" applyFont="1" applyFill="1" applyBorder="1" applyAlignment="1" applyProtection="1">
      <alignment horizontal="center" vertical="center" wrapText="1"/>
      <protection locked="0"/>
    </xf>
    <xf numFmtId="3" fontId="2" fillId="6" borderId="17" xfId="0" applyNumberFormat="1" applyFont="1" applyFill="1" applyBorder="1" applyAlignment="1" applyProtection="1">
      <alignment horizontal="center" vertical="center" wrapText="1"/>
      <protection locked="0"/>
    </xf>
    <xf numFmtId="3" fontId="31" fillId="0" borderId="165" xfId="0" applyNumberFormat="1" applyFont="1" applyBorder="1" applyAlignment="1">
      <alignment horizontal="center" vertical="center"/>
    </xf>
    <xf numFmtId="3" fontId="31" fillId="0" borderId="168" xfId="0" applyNumberFormat="1" applyFont="1" applyBorder="1" applyAlignment="1">
      <alignment horizontal="center" vertical="center"/>
    </xf>
    <xf numFmtId="3" fontId="31" fillId="0" borderId="169" xfId="0" applyNumberFormat="1" applyFont="1" applyBorder="1" applyAlignment="1">
      <alignment horizontal="center" vertical="center"/>
    </xf>
    <xf numFmtId="17" fontId="1" fillId="0" borderId="0" xfId="0" quotePrefix="1" applyNumberFormat="1" applyFont="1" applyAlignment="1">
      <alignment horizontal="center"/>
    </xf>
    <xf numFmtId="17" fontId="1" fillId="0" borderId="0" xfId="0" applyNumberFormat="1" applyFont="1" applyAlignment="1">
      <alignment horizontal="center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0" fontId="19" fillId="0" borderId="1" xfId="1" applyFont="1" applyFill="1" applyBorder="1" applyAlignment="1" applyProtection="1">
      <alignment horizontal="center" vertical="center" wrapText="1"/>
      <protection locked="0"/>
    </xf>
    <xf numFmtId="0" fontId="19" fillId="0" borderId="23" xfId="0" applyFont="1" applyFill="1" applyBorder="1" applyAlignment="1" applyProtection="1">
      <alignment horizontal="center" vertical="center" wrapText="1"/>
      <protection locked="0"/>
    </xf>
    <xf numFmtId="0" fontId="19" fillId="0" borderId="1" xfId="0" applyFont="1" applyFill="1" applyBorder="1" applyAlignment="1" applyProtection="1">
      <alignment horizontal="center" vertical="center" wrapText="1"/>
      <protection locked="0"/>
    </xf>
    <xf numFmtId="3" fontId="1" fillId="3" borderId="41" xfId="0" applyNumberFormat="1" applyFont="1" applyFill="1" applyBorder="1" applyAlignment="1" applyProtection="1">
      <alignment horizontal="center" vertical="center"/>
    </xf>
    <xf numFmtId="3" fontId="1" fillId="3" borderId="56" xfId="0" applyNumberFormat="1" applyFont="1" applyFill="1" applyBorder="1" applyAlignment="1" applyProtection="1">
      <alignment horizontal="center" vertical="center"/>
    </xf>
    <xf numFmtId="3" fontId="8" fillId="0" borderId="0" xfId="0" applyNumberFormat="1" applyFont="1" applyFill="1" applyBorder="1" applyAlignment="1" applyProtection="1">
      <alignment horizontal="left" wrapText="1"/>
      <protection locked="0"/>
    </xf>
    <xf numFmtId="3" fontId="7" fillId="0" borderId="0" xfId="0" applyNumberFormat="1" applyFont="1" applyFill="1" applyBorder="1" applyAlignment="1" applyProtection="1">
      <alignment horizontal="left" wrapText="1"/>
      <protection locked="0"/>
    </xf>
  </cellXfs>
  <cellStyles count="2">
    <cellStyle name="Normal" xfId="0" builtinId="0"/>
    <cellStyle name="Normal 2" xfId="1" xr:uid="{43222281-E838-4863-8C45-A54CC42E4625}"/>
  </cellStyles>
  <dxfs count="0"/>
  <tableStyles count="0" defaultTableStyle="TableStyleMedium2" defaultPivotStyle="PivotStyleLight16"/>
  <colors>
    <mruColors>
      <color rgb="FF0000FF"/>
      <color rgb="FFFD5341"/>
      <color rgb="FF0000CC"/>
      <color rgb="FF0066FF"/>
      <color rgb="FFFEB7B0"/>
      <color rgb="FFE2C5FF"/>
      <color rgb="FFDBB7FF"/>
      <color rgb="FFCC99FF"/>
      <color rgb="FFFEA59C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graphs!$B$2</c:f>
              <c:strCache>
                <c:ptCount val="1"/>
                <c:pt idx="0">
                  <c:v>Outgoing Cumulative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graphs!$B$6:$B$45</c:f>
              <c:numCache>
                <c:formatCode>#,##0</c:formatCode>
                <c:ptCount val="40"/>
                <c:pt idx="0">
                  <c:v>63726</c:v>
                </c:pt>
                <c:pt idx="1">
                  <c:v>153427</c:v>
                </c:pt>
                <c:pt idx="2">
                  <c:v>157564</c:v>
                </c:pt>
                <c:pt idx="3">
                  <c:v>162926</c:v>
                </c:pt>
                <c:pt idx="4">
                  <c:v>168219</c:v>
                </c:pt>
                <c:pt idx="5">
                  <c:v>171132</c:v>
                </c:pt>
                <c:pt idx="6">
                  <c:v>177284</c:v>
                </c:pt>
                <c:pt idx="7">
                  <c:v>185500</c:v>
                </c:pt>
                <c:pt idx="8">
                  <c:v>194154</c:v>
                </c:pt>
                <c:pt idx="9">
                  <c:v>199025</c:v>
                </c:pt>
                <c:pt idx="10">
                  <c:v>203025</c:v>
                </c:pt>
                <c:pt idx="11">
                  <c:v>207846</c:v>
                </c:pt>
                <c:pt idx="12">
                  <c:v>207945</c:v>
                </c:pt>
                <c:pt idx="13">
                  <c:v>207945</c:v>
                </c:pt>
                <c:pt idx="14">
                  <c:v>213805</c:v>
                </c:pt>
                <c:pt idx="15">
                  <c:v>221342</c:v>
                </c:pt>
                <c:pt idx="16">
                  <c:v>226463</c:v>
                </c:pt>
                <c:pt idx="17">
                  <c:v>229375</c:v>
                </c:pt>
                <c:pt idx="18">
                  <c:v>233529</c:v>
                </c:pt>
                <c:pt idx="19">
                  <c:v>233529</c:v>
                </c:pt>
                <c:pt idx="20">
                  <c:v>233529</c:v>
                </c:pt>
                <c:pt idx="21">
                  <c:v>233529</c:v>
                </c:pt>
                <c:pt idx="22">
                  <c:v>239253</c:v>
                </c:pt>
                <c:pt idx="23">
                  <c:v>242262</c:v>
                </c:pt>
                <c:pt idx="24">
                  <c:v>244492</c:v>
                </c:pt>
                <c:pt idx="25">
                  <c:v>248571</c:v>
                </c:pt>
                <c:pt idx="26">
                  <c:v>248571</c:v>
                </c:pt>
                <c:pt idx="27">
                  <c:v>248571</c:v>
                </c:pt>
                <c:pt idx="28">
                  <c:v>253249</c:v>
                </c:pt>
                <c:pt idx="29">
                  <c:v>256393</c:v>
                </c:pt>
                <c:pt idx="30">
                  <c:v>259179</c:v>
                </c:pt>
                <c:pt idx="31">
                  <c:v>262075</c:v>
                </c:pt>
                <c:pt idx="32">
                  <c:v>264659</c:v>
                </c:pt>
                <c:pt idx="33">
                  <c:v>266932</c:v>
                </c:pt>
                <c:pt idx="34">
                  <c:v>266932</c:v>
                </c:pt>
                <c:pt idx="35">
                  <c:v>268225</c:v>
                </c:pt>
                <c:pt idx="36">
                  <c:v>268252</c:v>
                </c:pt>
                <c:pt idx="37">
                  <c:v>268742</c:v>
                </c:pt>
                <c:pt idx="38">
                  <c:v>268827</c:v>
                </c:pt>
                <c:pt idx="39">
                  <c:v>268861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E2-47CC-8FD9-2F6E47505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439632"/>
        <c:axId val="615440616"/>
      </c:lineChart>
      <c:catAx>
        <c:axId val="615439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440616"/>
        <c:crosses val="autoZero"/>
        <c:auto val="1"/>
        <c:lblAlgn val="ctr"/>
        <c:lblOffset val="100"/>
        <c:noMultiLvlLbl val="0"/>
      </c:catAx>
      <c:valAx>
        <c:axId val="615440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43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2016 and 2020</a:t>
            </a:r>
            <a:r>
              <a:rPr lang="en-US" baseline="0"/>
              <a:t> Cumulative Reurns</a:t>
            </a:r>
            <a:endParaRPr lang="en-US"/>
          </a:p>
        </c:rich>
      </c:tx>
      <c:layout>
        <c:manualLayout>
          <c:xMode val="edge"/>
          <c:yMode val="edge"/>
          <c:x val="0.27626534011195608"/>
          <c:y val="1.7318280217501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graphs!$F$2</c:f>
              <c:strCache>
                <c:ptCount val="1"/>
                <c:pt idx="0">
                  <c:v>Return Cumulative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graphs!$F$4:$F$47</c:f>
              <c:numCache>
                <c:formatCode>#,##0</c:formatCode>
                <c:ptCount val="44"/>
                <c:pt idx="0" formatCode="General">
                  <c:v>168</c:v>
                </c:pt>
                <c:pt idx="1">
                  <c:v>1071</c:v>
                </c:pt>
                <c:pt idx="2">
                  <c:v>1916</c:v>
                </c:pt>
                <c:pt idx="3">
                  <c:v>4008</c:v>
                </c:pt>
                <c:pt idx="4">
                  <c:v>9522</c:v>
                </c:pt>
                <c:pt idx="5">
                  <c:v>13784</c:v>
                </c:pt>
                <c:pt idx="6">
                  <c:v>18909</c:v>
                </c:pt>
                <c:pt idx="7">
                  <c:v>28557</c:v>
                </c:pt>
                <c:pt idx="8">
                  <c:v>30429</c:v>
                </c:pt>
                <c:pt idx="9">
                  <c:v>38992</c:v>
                </c:pt>
                <c:pt idx="10">
                  <c:v>44071</c:v>
                </c:pt>
                <c:pt idx="11">
                  <c:v>49346</c:v>
                </c:pt>
                <c:pt idx="12">
                  <c:v>53454</c:v>
                </c:pt>
                <c:pt idx="13">
                  <c:v>53842</c:v>
                </c:pt>
                <c:pt idx="14">
                  <c:v>60810</c:v>
                </c:pt>
                <c:pt idx="15">
                  <c:v>63120</c:v>
                </c:pt>
                <c:pt idx="16">
                  <c:v>69975</c:v>
                </c:pt>
                <c:pt idx="17">
                  <c:v>75057</c:v>
                </c:pt>
                <c:pt idx="18">
                  <c:v>79992</c:v>
                </c:pt>
                <c:pt idx="19">
                  <c:v>84014</c:v>
                </c:pt>
                <c:pt idx="20">
                  <c:v>85457</c:v>
                </c:pt>
                <c:pt idx="21">
                  <c:v>93029</c:v>
                </c:pt>
                <c:pt idx="22">
                  <c:v>97716</c:v>
                </c:pt>
                <c:pt idx="23">
                  <c:v>107570</c:v>
                </c:pt>
                <c:pt idx="24">
                  <c:v>115928</c:v>
                </c:pt>
                <c:pt idx="25">
                  <c:v>124633</c:v>
                </c:pt>
                <c:pt idx="26">
                  <c:v>125804</c:v>
                </c:pt>
                <c:pt idx="27">
                  <c:v>134556</c:v>
                </c:pt>
                <c:pt idx="28">
                  <c:v>138303</c:v>
                </c:pt>
                <c:pt idx="29">
                  <c:v>145229</c:v>
                </c:pt>
                <c:pt idx="30">
                  <c:v>151707</c:v>
                </c:pt>
                <c:pt idx="31">
                  <c:v>157698</c:v>
                </c:pt>
                <c:pt idx="32">
                  <c:v>164551</c:v>
                </c:pt>
                <c:pt idx="33">
                  <c:v>172462</c:v>
                </c:pt>
                <c:pt idx="34">
                  <c:v>176558</c:v>
                </c:pt>
                <c:pt idx="35">
                  <c:v>184470</c:v>
                </c:pt>
                <c:pt idx="36">
                  <c:v>191011</c:v>
                </c:pt>
                <c:pt idx="37">
                  <c:v>198228</c:v>
                </c:pt>
                <c:pt idx="38">
                  <c:v>206275</c:v>
                </c:pt>
                <c:pt idx="39">
                  <c:v>215464</c:v>
                </c:pt>
                <c:pt idx="40">
                  <c:v>223886</c:v>
                </c:pt>
                <c:pt idx="41">
                  <c:v>224913</c:v>
                </c:pt>
                <c:pt idx="42">
                  <c:v>225659</c:v>
                </c:pt>
                <c:pt idx="43">
                  <c:v>226321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ED-4361-A5C3-31EC38FA91F5}"/>
            </c:ext>
          </c:extLst>
        </c:ser>
        <c:ser>
          <c:idx val="1"/>
          <c:order val="1"/>
          <c:tx>
            <c:strRef>
              <c:f>graphs!$AD$6</c:f>
              <c:strCache>
                <c:ptCount val="1"/>
                <c:pt idx="0">
                  <c:v>2016 Return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graphs!$AD$7:$AD$46</c:f>
              <c:numCache>
                <c:formatCode>General</c:formatCode>
                <c:ptCount val="40"/>
                <c:pt idx="3">
                  <c:v>3</c:v>
                </c:pt>
                <c:pt idx="4">
                  <c:v>3</c:v>
                </c:pt>
                <c:pt idx="5">
                  <c:v>40</c:v>
                </c:pt>
                <c:pt idx="6">
                  <c:v>481</c:v>
                </c:pt>
                <c:pt idx="7">
                  <c:v>940</c:v>
                </c:pt>
                <c:pt idx="8">
                  <c:v>950</c:v>
                </c:pt>
                <c:pt idx="9">
                  <c:v>1582</c:v>
                </c:pt>
                <c:pt idx="10">
                  <c:v>2326</c:v>
                </c:pt>
                <c:pt idx="11">
                  <c:v>3190</c:v>
                </c:pt>
                <c:pt idx="12">
                  <c:v>3793</c:v>
                </c:pt>
                <c:pt idx="13">
                  <c:v>4401</c:v>
                </c:pt>
                <c:pt idx="14">
                  <c:v>4420</c:v>
                </c:pt>
                <c:pt idx="15">
                  <c:v>6018</c:v>
                </c:pt>
                <c:pt idx="16">
                  <c:v>6561</c:v>
                </c:pt>
                <c:pt idx="17">
                  <c:v>7850</c:v>
                </c:pt>
                <c:pt idx="18">
                  <c:v>8940</c:v>
                </c:pt>
                <c:pt idx="19">
                  <c:v>11273</c:v>
                </c:pt>
                <c:pt idx="20">
                  <c:v>11567</c:v>
                </c:pt>
                <c:pt idx="21">
                  <c:v>13047</c:v>
                </c:pt>
                <c:pt idx="22">
                  <c:v>14274</c:v>
                </c:pt>
                <c:pt idx="23">
                  <c:v>15333</c:v>
                </c:pt>
                <c:pt idx="24">
                  <c:v>18235</c:v>
                </c:pt>
                <c:pt idx="25">
                  <c:v>18708</c:v>
                </c:pt>
                <c:pt idx="26">
                  <c:v>20645</c:v>
                </c:pt>
                <c:pt idx="27">
                  <c:v>22339</c:v>
                </c:pt>
                <c:pt idx="28">
                  <c:v>24060</c:v>
                </c:pt>
                <c:pt idx="29">
                  <c:v>25588</c:v>
                </c:pt>
                <c:pt idx="30">
                  <c:v>25622</c:v>
                </c:pt>
                <c:pt idx="31">
                  <c:v>27735</c:v>
                </c:pt>
                <c:pt idx="32">
                  <c:v>28607</c:v>
                </c:pt>
                <c:pt idx="33">
                  <c:v>30790</c:v>
                </c:pt>
                <c:pt idx="34">
                  <c:v>33203</c:v>
                </c:pt>
                <c:pt idx="35">
                  <c:v>35603</c:v>
                </c:pt>
                <c:pt idx="36">
                  <c:v>40276</c:v>
                </c:pt>
                <c:pt idx="37">
                  <c:v>41189</c:v>
                </c:pt>
                <c:pt idx="38">
                  <c:v>42807</c:v>
                </c:pt>
                <c:pt idx="39">
                  <c:v>44531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8E-46B9-9A3A-3F0F47894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667992"/>
        <c:axId val="612671600"/>
      </c:lineChart>
      <c:catAx>
        <c:axId val="6126679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71600"/>
        <c:crosses val="autoZero"/>
        <c:auto val="1"/>
        <c:lblAlgn val="ctr"/>
        <c:lblOffset val="100"/>
        <c:noMultiLvlLbl val="0"/>
      </c:catAx>
      <c:valAx>
        <c:axId val="61267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67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graphs!$AD$6</c:f>
              <c:strCache>
                <c:ptCount val="1"/>
                <c:pt idx="0">
                  <c:v>2016 Return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graphs!$AD$10:$AD$46</c:f>
              <c:numCache>
                <c:formatCode>General</c:formatCode>
                <c:ptCount val="37"/>
                <c:pt idx="0">
                  <c:v>3</c:v>
                </c:pt>
                <c:pt idx="1">
                  <c:v>3</c:v>
                </c:pt>
                <c:pt idx="2">
                  <c:v>40</c:v>
                </c:pt>
                <c:pt idx="3">
                  <c:v>481</c:v>
                </c:pt>
                <c:pt idx="4">
                  <c:v>940</c:v>
                </c:pt>
                <c:pt idx="5">
                  <c:v>950</c:v>
                </c:pt>
                <c:pt idx="6">
                  <c:v>1582</c:v>
                </c:pt>
                <c:pt idx="7">
                  <c:v>2326</c:v>
                </c:pt>
                <c:pt idx="8">
                  <c:v>3190</c:v>
                </c:pt>
                <c:pt idx="9">
                  <c:v>3793</c:v>
                </c:pt>
                <c:pt idx="10">
                  <c:v>4401</c:v>
                </c:pt>
                <c:pt idx="11">
                  <c:v>4420</c:v>
                </c:pt>
                <c:pt idx="12">
                  <c:v>6018</c:v>
                </c:pt>
                <c:pt idx="13">
                  <c:v>6561</c:v>
                </c:pt>
                <c:pt idx="14">
                  <c:v>7850</c:v>
                </c:pt>
                <c:pt idx="15">
                  <c:v>8940</c:v>
                </c:pt>
                <c:pt idx="16">
                  <c:v>11273</c:v>
                </c:pt>
                <c:pt idx="17">
                  <c:v>11567</c:v>
                </c:pt>
                <c:pt idx="18">
                  <c:v>13047</c:v>
                </c:pt>
                <c:pt idx="19">
                  <c:v>14274</c:v>
                </c:pt>
                <c:pt idx="20">
                  <c:v>15333</c:v>
                </c:pt>
                <c:pt idx="21">
                  <c:v>18235</c:v>
                </c:pt>
                <c:pt idx="22">
                  <c:v>18708</c:v>
                </c:pt>
                <c:pt idx="23">
                  <c:v>20645</c:v>
                </c:pt>
                <c:pt idx="24">
                  <c:v>22339</c:v>
                </c:pt>
                <c:pt idx="25">
                  <c:v>24060</c:v>
                </c:pt>
                <c:pt idx="26">
                  <c:v>25588</c:v>
                </c:pt>
                <c:pt idx="27">
                  <c:v>25622</c:v>
                </c:pt>
                <c:pt idx="28">
                  <c:v>27735</c:v>
                </c:pt>
                <c:pt idx="29">
                  <c:v>28607</c:v>
                </c:pt>
                <c:pt idx="30">
                  <c:v>30790</c:v>
                </c:pt>
                <c:pt idx="31">
                  <c:v>33203</c:v>
                </c:pt>
                <c:pt idx="32">
                  <c:v>35603</c:v>
                </c:pt>
                <c:pt idx="33">
                  <c:v>40276</c:v>
                </c:pt>
                <c:pt idx="34">
                  <c:v>41189</c:v>
                </c:pt>
                <c:pt idx="35">
                  <c:v>42807</c:v>
                </c:pt>
                <c:pt idx="36">
                  <c:v>44531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6D-404A-8F96-57EBF0289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8356112"/>
        <c:axId val="378358080"/>
      </c:lineChart>
      <c:catAx>
        <c:axId val="378356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58080"/>
        <c:crosses val="autoZero"/>
        <c:auto val="1"/>
        <c:lblAlgn val="ctr"/>
        <c:lblOffset val="100"/>
        <c:noMultiLvlLbl val="0"/>
      </c:catAx>
      <c:valAx>
        <c:axId val="3783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5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Comparing Running Totals of Ballot</a:t>
            </a:r>
            <a:r>
              <a:rPr lang="en-US" baseline="0">
                <a:solidFill>
                  <a:sysClr val="windowText" lastClr="000000"/>
                </a:solidFill>
              </a:rPr>
              <a:t> Mailout</a:t>
            </a:r>
          </a:p>
          <a:p>
            <a:pPr algn="ctr">
              <a:defRPr>
                <a:solidFill>
                  <a:sysClr val="windowText" lastClr="000000"/>
                </a:solidFill>
              </a:defRPr>
            </a:pPr>
            <a:r>
              <a:rPr lang="en-US" baseline="0">
                <a:solidFill>
                  <a:sysClr val="windowText" lastClr="000000"/>
                </a:solidFill>
              </a:rPr>
              <a:t>2016, 2020 Primaries &amp; </a:t>
            </a:r>
          </a:p>
          <a:p>
            <a:pPr algn="ctr">
              <a:defRPr>
                <a:solidFill>
                  <a:sysClr val="windowText" lastClr="000000"/>
                </a:solidFill>
              </a:defRPr>
            </a:pPr>
            <a:r>
              <a:rPr lang="en-US" baseline="0">
                <a:solidFill>
                  <a:sysClr val="windowText" lastClr="000000"/>
                </a:solidFill>
              </a:rPr>
              <a:t>2016, 2018, 2019 November Elections </a:t>
            </a:r>
            <a:endParaRPr lang="en-US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2701849910728861"/>
          <c:y val="2.6396208670637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Mailed 2020, 16,18,19'!$C$2</c:f>
              <c:strCache>
                <c:ptCount val="1"/>
                <c:pt idx="0">
                  <c:v>2016 March Running Total 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'Compare Mailed 2020, 16,18,19'!$C$3:$C$35</c:f>
              <c:numCache>
                <c:formatCode>General</c:formatCode>
                <c:ptCount val="33"/>
                <c:pt idx="0">
                  <c:v>710</c:v>
                </c:pt>
                <c:pt idx="1">
                  <c:v>710</c:v>
                </c:pt>
                <c:pt idx="2">
                  <c:v>727</c:v>
                </c:pt>
                <c:pt idx="3">
                  <c:v>789</c:v>
                </c:pt>
                <c:pt idx="4">
                  <c:v>987</c:v>
                </c:pt>
                <c:pt idx="5" formatCode="#,##0">
                  <c:v>1105</c:v>
                </c:pt>
                <c:pt idx="6" formatCode="#,##0">
                  <c:v>1105</c:v>
                </c:pt>
                <c:pt idx="7" formatCode="#,##0">
                  <c:v>1105</c:v>
                </c:pt>
                <c:pt idx="8" formatCode="#,##0">
                  <c:v>1147</c:v>
                </c:pt>
                <c:pt idx="9" formatCode="#,##0">
                  <c:v>1339</c:v>
                </c:pt>
                <c:pt idx="10" formatCode="#,##0">
                  <c:v>1411</c:v>
                </c:pt>
                <c:pt idx="11" formatCode="#,##0">
                  <c:v>1475</c:v>
                </c:pt>
                <c:pt idx="12" formatCode="#,##0">
                  <c:v>1652</c:v>
                </c:pt>
                <c:pt idx="13" formatCode="#,##0">
                  <c:v>1752</c:v>
                </c:pt>
                <c:pt idx="14" formatCode="#,##0">
                  <c:v>2008</c:v>
                </c:pt>
                <c:pt idx="15" formatCode="#,##0">
                  <c:v>2188</c:v>
                </c:pt>
                <c:pt idx="16" formatCode="#,##0">
                  <c:v>2430</c:v>
                </c:pt>
                <c:pt idx="17" formatCode="#,##0">
                  <c:v>2675</c:v>
                </c:pt>
                <c:pt idx="18" formatCode="#,##0">
                  <c:v>2945</c:v>
                </c:pt>
                <c:pt idx="19" formatCode="#,##0">
                  <c:v>3243</c:v>
                </c:pt>
                <c:pt idx="20" formatCode="#,##0">
                  <c:v>3526</c:v>
                </c:pt>
                <c:pt idx="21" formatCode="#,##0">
                  <c:v>3526</c:v>
                </c:pt>
                <c:pt idx="22" formatCode="#,##0">
                  <c:v>3845</c:v>
                </c:pt>
                <c:pt idx="23" formatCode="#,##0">
                  <c:v>4023</c:v>
                </c:pt>
                <c:pt idx="24" formatCode="#,##0">
                  <c:v>4187</c:v>
                </c:pt>
                <c:pt idx="25" formatCode="#,##0">
                  <c:v>4349</c:v>
                </c:pt>
                <c:pt idx="26" formatCode="#,##0">
                  <c:v>4636</c:v>
                </c:pt>
                <c:pt idx="27" formatCode="#,##0">
                  <c:v>4918</c:v>
                </c:pt>
                <c:pt idx="28" formatCode="#,##0">
                  <c:v>5201</c:v>
                </c:pt>
                <c:pt idx="29" formatCode="#,##0">
                  <c:v>5293</c:v>
                </c:pt>
                <c:pt idx="30" formatCode="#,##0">
                  <c:v>5293</c:v>
                </c:pt>
                <c:pt idx="31" formatCode="#,##0">
                  <c:v>5293</c:v>
                </c:pt>
                <c:pt idx="32" formatCode="#,##0">
                  <c:v>5293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CA-4316-BE4F-C4EA3B7CEBD5}"/>
            </c:ext>
          </c:extLst>
        </c:ser>
        <c:ser>
          <c:idx val="1"/>
          <c:order val="1"/>
          <c:tx>
            <c:strRef>
              <c:f>'Compare Mailed 2020, 16,18,19'!$F$2</c:f>
              <c:strCache>
                <c:ptCount val="1"/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'Compare Mailed 2020, 16,18,19'!$F$3:$F$35</c:f>
              <c:numCache>
                <c:formatCode>#,##0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CA-4316-BE4F-C4EA3B7CEBD5}"/>
            </c:ext>
          </c:extLst>
        </c:ser>
        <c:ser>
          <c:idx val="3"/>
          <c:order val="2"/>
          <c:tx>
            <c:strRef>
              <c:f>'Compare Mailed 2020, 16,18,19'!$R$2</c:f>
              <c:strCache>
                <c:ptCount val="1"/>
                <c:pt idx="0">
                  <c:v>2016 Nov Running Total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Mailed 2020, 16,18,19'!$R$3:$R$35</c:f>
              <c:numCache>
                <c:formatCode>#,##0</c:formatCode>
                <c:ptCount val="33"/>
                <c:pt idx="0">
                  <c:v>20109</c:v>
                </c:pt>
                <c:pt idx="1">
                  <c:v>20633</c:v>
                </c:pt>
                <c:pt idx="2">
                  <c:v>21321</c:v>
                </c:pt>
                <c:pt idx="3">
                  <c:v>22705</c:v>
                </c:pt>
                <c:pt idx="4">
                  <c:v>22874</c:v>
                </c:pt>
                <c:pt idx="5">
                  <c:v>24183</c:v>
                </c:pt>
                <c:pt idx="6">
                  <c:v>25255</c:v>
                </c:pt>
                <c:pt idx="7">
                  <c:v>27152</c:v>
                </c:pt>
                <c:pt idx="8">
                  <c:v>28348</c:v>
                </c:pt>
                <c:pt idx="9">
                  <c:v>30042</c:v>
                </c:pt>
                <c:pt idx="10">
                  <c:v>30619</c:v>
                </c:pt>
                <c:pt idx="11">
                  <c:v>32294</c:v>
                </c:pt>
                <c:pt idx="12">
                  <c:v>32294</c:v>
                </c:pt>
                <c:pt idx="13">
                  <c:v>33630</c:v>
                </c:pt>
                <c:pt idx="14">
                  <c:v>35454</c:v>
                </c:pt>
                <c:pt idx="15">
                  <c:v>36118</c:v>
                </c:pt>
                <c:pt idx="16">
                  <c:v>38271</c:v>
                </c:pt>
                <c:pt idx="17">
                  <c:v>40768</c:v>
                </c:pt>
                <c:pt idx="18">
                  <c:v>42020</c:v>
                </c:pt>
                <c:pt idx="19">
                  <c:v>44329</c:v>
                </c:pt>
                <c:pt idx="20">
                  <c:v>45325</c:v>
                </c:pt>
                <c:pt idx="21">
                  <c:v>47948</c:v>
                </c:pt>
                <c:pt idx="22">
                  <c:v>49979</c:v>
                </c:pt>
                <c:pt idx="23">
                  <c:v>51782</c:v>
                </c:pt>
                <c:pt idx="24">
                  <c:v>53100</c:v>
                </c:pt>
                <c:pt idx="25">
                  <c:v>53830</c:v>
                </c:pt>
                <c:pt idx="26">
                  <c:v>55177</c:v>
                </c:pt>
                <c:pt idx="27">
                  <c:v>57118</c:v>
                </c:pt>
                <c:pt idx="28">
                  <c:v>57215</c:v>
                </c:pt>
                <c:pt idx="29">
                  <c:v>57233</c:v>
                </c:pt>
                <c:pt idx="30">
                  <c:v>57252</c:v>
                </c:pt>
                <c:pt idx="31">
                  <c:v>57256</c:v>
                </c:pt>
                <c:pt idx="32">
                  <c:v>57256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6-4BA6-B7C5-4FFB8AFB9A35}"/>
            </c:ext>
          </c:extLst>
        </c:ser>
        <c:ser>
          <c:idx val="2"/>
          <c:order val="3"/>
          <c:tx>
            <c:strRef>
              <c:f>'Compare Mailed 2020, 16,18,19'!$U$2</c:f>
              <c:strCache>
                <c:ptCount val="1"/>
                <c:pt idx="0">
                  <c:v>2018 Nov Running Total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'Compare Mailed 2020, 16,18,19'!$U$3:$U$35</c:f>
              <c:numCache>
                <c:formatCode>#,##0</c:formatCode>
                <c:ptCount val="33"/>
                <c:pt idx="0">
                  <c:v>9920</c:v>
                </c:pt>
                <c:pt idx="1">
                  <c:v>10930</c:v>
                </c:pt>
                <c:pt idx="2">
                  <c:v>11530</c:v>
                </c:pt>
                <c:pt idx="3">
                  <c:v>12618</c:v>
                </c:pt>
                <c:pt idx="4">
                  <c:v>13302</c:v>
                </c:pt>
                <c:pt idx="5">
                  <c:v>14536</c:v>
                </c:pt>
                <c:pt idx="6">
                  <c:v>15697</c:v>
                </c:pt>
                <c:pt idx="7">
                  <c:v>16339</c:v>
                </c:pt>
                <c:pt idx="8">
                  <c:v>16866</c:v>
                </c:pt>
                <c:pt idx="9">
                  <c:v>16989</c:v>
                </c:pt>
                <c:pt idx="10">
                  <c:v>18790</c:v>
                </c:pt>
                <c:pt idx="11">
                  <c:v>20499</c:v>
                </c:pt>
                <c:pt idx="12">
                  <c:v>20499</c:v>
                </c:pt>
                <c:pt idx="13">
                  <c:v>21590</c:v>
                </c:pt>
                <c:pt idx="14">
                  <c:v>23185</c:v>
                </c:pt>
                <c:pt idx="15">
                  <c:v>25391</c:v>
                </c:pt>
                <c:pt idx="16">
                  <c:v>27242</c:v>
                </c:pt>
                <c:pt idx="17">
                  <c:v>28800</c:v>
                </c:pt>
                <c:pt idx="18">
                  <c:v>30064</c:v>
                </c:pt>
                <c:pt idx="19">
                  <c:v>31639</c:v>
                </c:pt>
                <c:pt idx="20">
                  <c:v>33227</c:v>
                </c:pt>
                <c:pt idx="21">
                  <c:v>34282</c:v>
                </c:pt>
                <c:pt idx="22">
                  <c:v>35305</c:v>
                </c:pt>
                <c:pt idx="23">
                  <c:v>35672</c:v>
                </c:pt>
                <c:pt idx="24">
                  <c:v>36592</c:v>
                </c:pt>
                <c:pt idx="25">
                  <c:v>36740</c:v>
                </c:pt>
                <c:pt idx="26">
                  <c:v>37474</c:v>
                </c:pt>
                <c:pt idx="27">
                  <c:v>38815</c:v>
                </c:pt>
                <c:pt idx="28">
                  <c:v>39204</c:v>
                </c:pt>
                <c:pt idx="29">
                  <c:v>39207</c:v>
                </c:pt>
                <c:pt idx="30">
                  <c:v>39213</c:v>
                </c:pt>
                <c:pt idx="31">
                  <c:v>39215</c:v>
                </c:pt>
                <c:pt idx="32">
                  <c:v>39216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F0-4FB9-8EFA-316D3169FA66}"/>
            </c:ext>
          </c:extLst>
        </c:ser>
        <c:ser>
          <c:idx val="4"/>
          <c:order val="4"/>
          <c:tx>
            <c:strRef>
              <c:f>'Compare Mailed 2020, 16,18,19'!$X$2</c:f>
              <c:strCache>
                <c:ptCount val="1"/>
                <c:pt idx="0">
                  <c:v>2019 Nov Running 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'Compare Mailed 2020, 16,18,19'!$X$3:$X$35</c:f>
              <c:numCache>
                <c:formatCode>#,##0</c:formatCode>
                <c:ptCount val="33"/>
                <c:pt idx="0">
                  <c:v>7100</c:v>
                </c:pt>
                <c:pt idx="1">
                  <c:v>7262</c:v>
                </c:pt>
                <c:pt idx="2">
                  <c:v>7456</c:v>
                </c:pt>
                <c:pt idx="3">
                  <c:v>7795</c:v>
                </c:pt>
                <c:pt idx="4">
                  <c:v>8056</c:v>
                </c:pt>
                <c:pt idx="5">
                  <c:v>8309</c:v>
                </c:pt>
                <c:pt idx="6">
                  <c:v>8499</c:v>
                </c:pt>
                <c:pt idx="7">
                  <c:v>8740</c:v>
                </c:pt>
                <c:pt idx="8">
                  <c:v>9030</c:v>
                </c:pt>
                <c:pt idx="9">
                  <c:v>9324</c:v>
                </c:pt>
                <c:pt idx="10">
                  <c:v>9571</c:v>
                </c:pt>
                <c:pt idx="11">
                  <c:v>10088</c:v>
                </c:pt>
                <c:pt idx="12">
                  <c:v>10088</c:v>
                </c:pt>
                <c:pt idx="13">
                  <c:v>10375</c:v>
                </c:pt>
                <c:pt idx="14">
                  <c:v>10689</c:v>
                </c:pt>
                <c:pt idx="15">
                  <c:v>10998</c:v>
                </c:pt>
                <c:pt idx="16">
                  <c:v>11565</c:v>
                </c:pt>
                <c:pt idx="17">
                  <c:v>11900</c:v>
                </c:pt>
                <c:pt idx="18">
                  <c:v>12300</c:v>
                </c:pt>
                <c:pt idx="19">
                  <c:v>12934</c:v>
                </c:pt>
                <c:pt idx="20">
                  <c:v>13888</c:v>
                </c:pt>
                <c:pt idx="21">
                  <c:v>14518</c:v>
                </c:pt>
                <c:pt idx="22">
                  <c:v>14912</c:v>
                </c:pt>
                <c:pt idx="23">
                  <c:v>15464</c:v>
                </c:pt>
                <c:pt idx="24">
                  <c:v>15674</c:v>
                </c:pt>
                <c:pt idx="25">
                  <c:v>16018</c:v>
                </c:pt>
                <c:pt idx="26">
                  <c:v>16324</c:v>
                </c:pt>
                <c:pt idx="27">
                  <c:v>16638</c:v>
                </c:pt>
                <c:pt idx="28">
                  <c:v>17317</c:v>
                </c:pt>
                <c:pt idx="29">
                  <c:v>17319</c:v>
                </c:pt>
                <c:pt idx="30">
                  <c:v>17321</c:v>
                </c:pt>
                <c:pt idx="31">
                  <c:v>17321</c:v>
                </c:pt>
                <c:pt idx="32">
                  <c:v>17321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F0-4FB9-8EFA-316D3169F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044080"/>
        <c:axId val="787040144"/>
      </c:lineChart>
      <c:catAx>
        <c:axId val="787044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0643106768576851"/>
              <c:y val="0.785388875570881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040144"/>
        <c:crosses val="autoZero"/>
        <c:auto val="1"/>
        <c:lblAlgn val="ctr"/>
        <c:lblOffset val="100"/>
        <c:noMultiLvlLbl val="0"/>
      </c:catAx>
      <c:valAx>
        <c:axId val="78704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Ballots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04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ysClr val="windowText" lastClr="000000"/>
                </a:solidFill>
              </a:rPr>
              <a:t>Comparing Running Totals of Returned Ballots</a:t>
            </a:r>
          </a:p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 b="0">
                <a:solidFill>
                  <a:sysClr val="windowText" lastClr="000000"/>
                </a:solidFill>
              </a:rPr>
              <a:t>2016, 2020 Primaries &amp; </a:t>
            </a:r>
          </a:p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 b="0">
                <a:solidFill>
                  <a:sysClr val="windowText" lastClr="000000"/>
                </a:solidFill>
              </a:rPr>
              <a:t>2016, 2018,</a:t>
            </a:r>
            <a:r>
              <a:rPr lang="en-US" b="0" baseline="0">
                <a:solidFill>
                  <a:sysClr val="windowText" lastClr="000000"/>
                </a:solidFill>
              </a:rPr>
              <a:t> </a:t>
            </a:r>
            <a:r>
              <a:rPr lang="en-US" b="0">
                <a:solidFill>
                  <a:sysClr val="windowText" lastClr="000000"/>
                </a:solidFill>
              </a:rPr>
              <a:t>2019 November</a:t>
            </a:r>
            <a:r>
              <a:rPr lang="en-US" b="0" baseline="0">
                <a:solidFill>
                  <a:sysClr val="windowText" lastClr="000000"/>
                </a:solidFill>
              </a:rPr>
              <a:t> Elections</a:t>
            </a:r>
            <a:endParaRPr lang="en-US" b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5490614435696207"/>
          <c:y val="2.82389033550521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Returns 2020,16,18,19'!$B$2</c:f>
              <c:strCache>
                <c:ptCount val="1"/>
                <c:pt idx="0">
                  <c:v>2016 March Dem Running Total 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'Compare Returns 2020,16,18,19'!$B$3:$B$39</c:f>
              <c:numCache>
                <c:formatCode>General</c:formatCode>
                <c:ptCount val="37"/>
                <c:pt idx="9">
                  <c:v>1</c:v>
                </c:pt>
                <c:pt idx="10">
                  <c:v>20</c:v>
                </c:pt>
                <c:pt idx="11">
                  <c:v>35</c:v>
                </c:pt>
                <c:pt idx="12">
                  <c:v>52</c:v>
                </c:pt>
                <c:pt idx="13">
                  <c:v>88</c:v>
                </c:pt>
                <c:pt idx="14">
                  <c:v>115</c:v>
                </c:pt>
                <c:pt idx="15">
                  <c:v>140</c:v>
                </c:pt>
                <c:pt idx="16">
                  <c:v>228</c:v>
                </c:pt>
                <c:pt idx="17">
                  <c:v>259</c:v>
                </c:pt>
                <c:pt idx="18">
                  <c:v>325</c:v>
                </c:pt>
                <c:pt idx="19">
                  <c:v>332</c:v>
                </c:pt>
                <c:pt idx="20">
                  <c:v>403</c:v>
                </c:pt>
                <c:pt idx="21">
                  <c:v>488</c:v>
                </c:pt>
                <c:pt idx="22">
                  <c:v>557</c:v>
                </c:pt>
                <c:pt idx="23">
                  <c:v>611</c:v>
                </c:pt>
                <c:pt idx="24">
                  <c:v>671</c:v>
                </c:pt>
                <c:pt idx="25" formatCode="#,##0">
                  <c:v>882</c:v>
                </c:pt>
                <c:pt idx="26" formatCode="#,##0">
                  <c:v>915</c:v>
                </c:pt>
                <c:pt idx="27" formatCode="#,##0">
                  <c:v>1005</c:v>
                </c:pt>
                <c:pt idx="28" formatCode="#,##0">
                  <c:v>1162</c:v>
                </c:pt>
                <c:pt idx="29" formatCode="#,##0">
                  <c:v>1486</c:v>
                </c:pt>
                <c:pt idx="30" formatCode="#,##0">
                  <c:v>1527</c:v>
                </c:pt>
                <c:pt idx="31" formatCode="#,##0">
                  <c:v>1779</c:v>
                </c:pt>
                <c:pt idx="32" formatCode="#,##0">
                  <c:v>2041</c:v>
                </c:pt>
                <c:pt idx="33" formatCode="#,##0">
                  <c:v>2258</c:v>
                </c:pt>
                <c:pt idx="34" formatCode="#,##0">
                  <c:v>2269</c:v>
                </c:pt>
                <c:pt idx="35" formatCode="#,##0">
                  <c:v>3035</c:v>
                </c:pt>
                <c:pt idx="36" formatCode="#,##0">
                  <c:v>3220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24-42E7-89D3-900D18A72FF9}"/>
            </c:ext>
          </c:extLst>
        </c:ser>
        <c:ser>
          <c:idx val="1"/>
          <c:order val="1"/>
          <c:tx>
            <c:strRef>
              <c:f>'Compare Returns 2020,16,18,19'!$E$2</c:f>
              <c:strCache>
                <c:ptCount val="1"/>
                <c:pt idx="0">
                  <c:v>2020  Dem March Running 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'Compare Returns 2020,16,18,19'!$E$3:$E$39</c:f>
              <c:numCache>
                <c:formatCode>General</c:formatCode>
                <c:ptCount val="37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 formatCode="#,##0">
                  <c:v>0</c:v>
                </c:pt>
                <c:pt idx="23" formatCode="#,##0">
                  <c:v>0</c:v>
                </c:pt>
                <c:pt idx="24" formatCode="#,##0">
                  <c:v>0</c:v>
                </c:pt>
                <c:pt idx="25" formatCode="#,##0">
                  <c:v>0</c:v>
                </c:pt>
                <c:pt idx="26" formatCode="#,##0">
                  <c:v>0</c:v>
                </c:pt>
                <c:pt idx="27" formatCode="#,##0">
                  <c:v>0</c:v>
                </c:pt>
                <c:pt idx="28" formatCode="#,##0">
                  <c:v>0</c:v>
                </c:pt>
                <c:pt idx="29" formatCode="#,##0">
                  <c:v>0</c:v>
                </c:pt>
                <c:pt idx="30" formatCode="#,##0">
                  <c:v>0</c:v>
                </c:pt>
                <c:pt idx="31" formatCode="#,##0">
                  <c:v>0</c:v>
                </c:pt>
                <c:pt idx="32" formatCode="#,##0">
                  <c:v>0</c:v>
                </c:pt>
                <c:pt idx="33" formatCode="#,##0">
                  <c:v>0</c:v>
                </c:pt>
                <c:pt idx="34" formatCode="#,##0">
                  <c:v>0</c:v>
                </c:pt>
                <c:pt idx="35" formatCode="#,##0">
                  <c:v>0</c:v>
                </c:pt>
                <c:pt idx="36" formatCode="#,##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24-42E7-89D3-900D18A72FF9}"/>
            </c:ext>
          </c:extLst>
        </c:ser>
        <c:ser>
          <c:idx val="2"/>
          <c:order val="2"/>
          <c:tx>
            <c:strRef>
              <c:f>'Compare Returns 2020,16,18,19'!$T$2</c:f>
              <c:strCache>
                <c:ptCount val="1"/>
                <c:pt idx="0">
                  <c:v>2018 Nov Running Total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'Compare Returns 2020,16,18,19'!$T$3:$T$39</c:f>
              <c:numCache>
                <c:formatCode>General</c:formatCode>
                <c:ptCount val="37"/>
                <c:pt idx="3">
                  <c:v>218</c:v>
                </c:pt>
                <c:pt idx="4">
                  <c:v>331</c:v>
                </c:pt>
                <c:pt idx="5">
                  <c:v>596</c:v>
                </c:pt>
                <c:pt idx="6">
                  <c:v>900</c:v>
                </c:pt>
                <c:pt idx="7">
                  <c:v>1187</c:v>
                </c:pt>
                <c:pt idx="8">
                  <c:v>1408</c:v>
                </c:pt>
                <c:pt idx="9">
                  <c:v>1937</c:v>
                </c:pt>
                <c:pt idx="10">
                  <c:v>2451</c:v>
                </c:pt>
                <c:pt idx="11">
                  <c:v>2812</c:v>
                </c:pt>
                <c:pt idx="12">
                  <c:v>3185</c:v>
                </c:pt>
                <c:pt idx="13">
                  <c:v>3911</c:v>
                </c:pt>
                <c:pt idx="14">
                  <c:v>4425</c:v>
                </c:pt>
                <c:pt idx="15">
                  <c:v>5568</c:v>
                </c:pt>
                <c:pt idx="16">
                  <c:v>6163</c:v>
                </c:pt>
                <c:pt idx="17">
                  <c:v>7543</c:v>
                </c:pt>
                <c:pt idx="18">
                  <c:v>7858</c:v>
                </c:pt>
                <c:pt idx="19">
                  <c:v>8962</c:v>
                </c:pt>
                <c:pt idx="20">
                  <c:v>9883</c:v>
                </c:pt>
                <c:pt idx="21" formatCode="#,##0">
                  <c:v>10586</c:v>
                </c:pt>
                <c:pt idx="22" formatCode="#,##0">
                  <c:v>12657</c:v>
                </c:pt>
                <c:pt idx="23" formatCode="#,##0">
                  <c:v>12916</c:v>
                </c:pt>
                <c:pt idx="24" formatCode="#,##0">
                  <c:v>14449</c:v>
                </c:pt>
                <c:pt idx="25" formatCode="#,##0">
                  <c:v>15700</c:v>
                </c:pt>
                <c:pt idx="26" formatCode="#,##0">
                  <c:v>16817</c:v>
                </c:pt>
                <c:pt idx="27" formatCode="#,##0">
                  <c:v>17852</c:v>
                </c:pt>
                <c:pt idx="28" formatCode="#,##0">
                  <c:v>19052</c:v>
                </c:pt>
                <c:pt idx="29" formatCode="#,##0">
                  <c:v>20249</c:v>
                </c:pt>
                <c:pt idx="30" formatCode="#,##0">
                  <c:v>21778</c:v>
                </c:pt>
                <c:pt idx="31" formatCode="#,##0">
                  <c:v>23423</c:v>
                </c:pt>
                <c:pt idx="32" formatCode="#,##0">
                  <c:v>24979</c:v>
                </c:pt>
                <c:pt idx="33" formatCode="#,##0">
                  <c:v>26172</c:v>
                </c:pt>
                <c:pt idx="34" formatCode="#,##0">
                  <c:v>26994</c:v>
                </c:pt>
                <c:pt idx="35" formatCode="#,##0">
                  <c:v>28641</c:v>
                </c:pt>
                <c:pt idx="36" formatCode="#,##0">
                  <c:v>30359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24-42E7-89D3-900D18A72FF9}"/>
            </c:ext>
          </c:extLst>
        </c:ser>
        <c:ser>
          <c:idx val="3"/>
          <c:order val="3"/>
          <c:tx>
            <c:strRef>
              <c:f>'Compare Returns 2020,16,18,19'!$Q$2</c:f>
              <c:strCache>
                <c:ptCount val="1"/>
                <c:pt idx="0">
                  <c:v>2016 Nov Running Total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Returns 2020,16,18,19'!$Q$2:$Q$36</c:f>
              <c:numCache>
                <c:formatCode>General</c:formatCode>
                <c:ptCount val="35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40</c:v>
                </c:pt>
                <c:pt idx="4">
                  <c:v>481</c:v>
                </c:pt>
                <c:pt idx="5">
                  <c:v>940</c:v>
                </c:pt>
                <c:pt idx="6">
                  <c:v>950</c:v>
                </c:pt>
                <c:pt idx="7">
                  <c:v>1582</c:v>
                </c:pt>
                <c:pt idx="8">
                  <c:v>2326</c:v>
                </c:pt>
                <c:pt idx="9">
                  <c:v>3190</c:v>
                </c:pt>
                <c:pt idx="10">
                  <c:v>3793</c:v>
                </c:pt>
                <c:pt idx="11">
                  <c:v>4401</c:v>
                </c:pt>
                <c:pt idx="12">
                  <c:v>4420</c:v>
                </c:pt>
                <c:pt idx="13">
                  <c:v>6018</c:v>
                </c:pt>
                <c:pt idx="14">
                  <c:v>6561</c:v>
                </c:pt>
                <c:pt idx="15">
                  <c:v>7850</c:v>
                </c:pt>
                <c:pt idx="16">
                  <c:v>8940</c:v>
                </c:pt>
                <c:pt idx="17" formatCode="#,##0">
                  <c:v>11273</c:v>
                </c:pt>
                <c:pt idx="18" formatCode="#,##0">
                  <c:v>11567</c:v>
                </c:pt>
                <c:pt idx="19" formatCode="#,##0">
                  <c:v>13047</c:v>
                </c:pt>
                <c:pt idx="20" formatCode="#,##0">
                  <c:v>14274</c:v>
                </c:pt>
                <c:pt idx="21" formatCode="#,##0">
                  <c:v>15333</c:v>
                </c:pt>
                <c:pt idx="22" formatCode="#,##0">
                  <c:v>18235</c:v>
                </c:pt>
                <c:pt idx="23" formatCode="#,##0">
                  <c:v>18708</c:v>
                </c:pt>
                <c:pt idx="24" formatCode="#,##0">
                  <c:v>20645</c:v>
                </c:pt>
                <c:pt idx="25" formatCode="#,##0">
                  <c:v>22339</c:v>
                </c:pt>
                <c:pt idx="26" formatCode="#,##0">
                  <c:v>24060</c:v>
                </c:pt>
                <c:pt idx="27" formatCode="#,##0">
                  <c:v>25588</c:v>
                </c:pt>
                <c:pt idx="28" formatCode="#,##0">
                  <c:v>25622</c:v>
                </c:pt>
                <c:pt idx="29" formatCode="#,##0">
                  <c:v>27735</c:v>
                </c:pt>
                <c:pt idx="30" formatCode="#,##0">
                  <c:v>28607</c:v>
                </c:pt>
                <c:pt idx="31" formatCode="#,##0">
                  <c:v>30790</c:v>
                </c:pt>
                <c:pt idx="32" formatCode="#,##0">
                  <c:v>33203</c:v>
                </c:pt>
                <c:pt idx="33" formatCode="#,##0">
                  <c:v>35603</c:v>
                </c:pt>
                <c:pt idx="34" formatCode="#,##0">
                  <c:v>40276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F4-4C1A-BD2C-D860CBBA56FA}"/>
            </c:ext>
          </c:extLst>
        </c:ser>
        <c:ser>
          <c:idx val="4"/>
          <c:order val="4"/>
          <c:tx>
            <c:strRef>
              <c:f>'Compare Returns 2020,16,18,19'!$W$2</c:f>
              <c:strCache>
                <c:ptCount val="1"/>
                <c:pt idx="0">
                  <c:v>2019 Nov Running 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'Compare Returns 2020,16,18,19'!$W$3:$W$39</c:f>
              <c:numCache>
                <c:formatCode>General</c:formatCode>
                <c:ptCount val="37"/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28</c:v>
                </c:pt>
                <c:pt idx="7">
                  <c:v>87</c:v>
                </c:pt>
                <c:pt idx="8">
                  <c:v>148</c:v>
                </c:pt>
                <c:pt idx="9">
                  <c:v>218</c:v>
                </c:pt>
                <c:pt idx="10">
                  <c:v>422</c:v>
                </c:pt>
                <c:pt idx="11">
                  <c:v>465</c:v>
                </c:pt>
                <c:pt idx="12">
                  <c:v>588</c:v>
                </c:pt>
                <c:pt idx="13">
                  <c:v>694</c:v>
                </c:pt>
                <c:pt idx="14">
                  <c:v>788</c:v>
                </c:pt>
                <c:pt idx="15">
                  <c:v>1074</c:v>
                </c:pt>
                <c:pt idx="16">
                  <c:v>1083</c:v>
                </c:pt>
                <c:pt idx="17">
                  <c:v>1291</c:v>
                </c:pt>
                <c:pt idx="18">
                  <c:v>1448</c:v>
                </c:pt>
                <c:pt idx="19">
                  <c:v>1598</c:v>
                </c:pt>
                <c:pt idx="20">
                  <c:v>2015</c:v>
                </c:pt>
                <c:pt idx="21">
                  <c:v>2025</c:v>
                </c:pt>
                <c:pt idx="22">
                  <c:v>2480</c:v>
                </c:pt>
                <c:pt idx="23">
                  <c:v>2668</c:v>
                </c:pt>
                <c:pt idx="24">
                  <c:v>3297</c:v>
                </c:pt>
                <c:pt idx="25">
                  <c:v>3337</c:v>
                </c:pt>
                <c:pt idx="26">
                  <c:v>3809</c:v>
                </c:pt>
                <c:pt idx="27">
                  <c:v>3884</c:v>
                </c:pt>
                <c:pt idx="28">
                  <c:v>4324</c:v>
                </c:pt>
                <c:pt idx="29">
                  <c:v>5130</c:v>
                </c:pt>
                <c:pt idx="30">
                  <c:v>5929</c:v>
                </c:pt>
                <c:pt idx="31">
                  <c:v>6593</c:v>
                </c:pt>
                <c:pt idx="32">
                  <c:v>7149</c:v>
                </c:pt>
                <c:pt idx="33">
                  <c:v>7582</c:v>
                </c:pt>
                <c:pt idx="34">
                  <c:v>7961</c:v>
                </c:pt>
                <c:pt idx="35">
                  <c:v>9234</c:v>
                </c:pt>
                <c:pt idx="36">
                  <c:v>9434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0-45BA-AE17-DC79BE6FE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1245344"/>
        <c:axId val="701244360"/>
      </c:lineChart>
      <c:catAx>
        <c:axId val="70124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4028350114772239"/>
              <c:y val="0.755870192118212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244360"/>
        <c:crosses val="autoZero"/>
        <c:auto val="1"/>
        <c:lblAlgn val="ctr"/>
        <c:lblOffset val="100"/>
        <c:noMultiLvlLbl val="0"/>
      </c:catAx>
      <c:valAx>
        <c:axId val="701244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  <a:p>
                <a:pPr>
                  <a:defRPr/>
                </a:pPr>
                <a:r>
                  <a:rPr lang="en-US"/>
                  <a:t>Ballots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24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7677028176356009E-2"/>
          <c:y val="0.83299803586565857"/>
          <c:w val="0.88699461347819331"/>
          <c:h val="0.14720698137200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Comparing In-person Absentee</a:t>
            </a:r>
            <a:r>
              <a:rPr lang="en-US" baseline="0">
                <a:solidFill>
                  <a:sysClr val="windowText" lastClr="000000"/>
                </a:solidFill>
              </a:rPr>
              <a:t> Voting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/>
                </a:solidFill>
              </a:defRPr>
            </a:pPr>
            <a:r>
              <a:rPr lang="en-US" sz="1400" b="0" i="0" baseline="0">
                <a:effectLst/>
              </a:rPr>
              <a:t>2016, 2020 Primaries &amp;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/>
                </a:solidFill>
              </a:defRPr>
            </a:pPr>
            <a:r>
              <a:rPr lang="en-US" sz="1400" b="0" i="0" baseline="0">
                <a:effectLst/>
              </a:rPr>
              <a:t>2016, 2018, 2019 November Elections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5070703885922058"/>
          <c:y val="1.05915646517345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45441805364243E-2"/>
          <c:y val="0.14521907665923295"/>
          <c:w val="0.8869939025315916"/>
          <c:h val="0.66094311429933539"/>
        </c:manualLayout>
      </c:layout>
      <c:lineChart>
        <c:grouping val="standard"/>
        <c:varyColors val="0"/>
        <c:ser>
          <c:idx val="0"/>
          <c:order val="0"/>
          <c:tx>
            <c:strRef>
              <c:f>'Compare In-per 2020,16, 18,19'!$B$2</c:f>
              <c:strCache>
                <c:ptCount val="1"/>
                <c:pt idx="0">
                  <c:v>2016 March Dem Running Total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'Compare In-per 2020,16, 18,19'!$B$3:$B$39</c:f>
              <c:numCache>
                <c:formatCode>General</c:formatCode>
                <c:ptCount val="37"/>
                <c:pt idx="4">
                  <c:v>38</c:v>
                </c:pt>
                <c:pt idx="5">
                  <c:v>38</c:v>
                </c:pt>
                <c:pt idx="6">
                  <c:v>58</c:v>
                </c:pt>
                <c:pt idx="7">
                  <c:v>80</c:v>
                </c:pt>
                <c:pt idx="8">
                  <c:v>91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104</c:v>
                </c:pt>
                <c:pt idx="13">
                  <c:v>120</c:v>
                </c:pt>
                <c:pt idx="14">
                  <c:v>142</c:v>
                </c:pt>
                <c:pt idx="15">
                  <c:v>166</c:v>
                </c:pt>
                <c:pt idx="16">
                  <c:v>187</c:v>
                </c:pt>
                <c:pt idx="17">
                  <c:v>205</c:v>
                </c:pt>
                <c:pt idx="18">
                  <c:v>237</c:v>
                </c:pt>
                <c:pt idx="19">
                  <c:v>259</c:v>
                </c:pt>
                <c:pt idx="20">
                  <c:v>294</c:v>
                </c:pt>
                <c:pt idx="21">
                  <c:v>307</c:v>
                </c:pt>
                <c:pt idx="22">
                  <c:v>333</c:v>
                </c:pt>
                <c:pt idx="23">
                  <c:v>381</c:v>
                </c:pt>
                <c:pt idx="24">
                  <c:v>425</c:v>
                </c:pt>
                <c:pt idx="25">
                  <c:v>425</c:v>
                </c:pt>
                <c:pt idx="26" formatCode="#,##0">
                  <c:v>457</c:v>
                </c:pt>
                <c:pt idx="27" formatCode="#,##0">
                  <c:v>516</c:v>
                </c:pt>
                <c:pt idx="28" formatCode="#,##0">
                  <c:v>617</c:v>
                </c:pt>
                <c:pt idx="29" formatCode="#,##0">
                  <c:v>699</c:v>
                </c:pt>
                <c:pt idx="30" formatCode="#,##0">
                  <c:v>878</c:v>
                </c:pt>
                <c:pt idx="31" formatCode="#,##0">
                  <c:v>971</c:v>
                </c:pt>
                <c:pt idx="32" formatCode="#,##0">
                  <c:v>1085</c:v>
                </c:pt>
                <c:pt idx="33" formatCode="#,##0">
                  <c:v>1266</c:v>
                </c:pt>
                <c:pt idx="34" formatCode="#,##0">
                  <c:v>1443</c:v>
                </c:pt>
                <c:pt idx="35" formatCode="#,##0">
                  <c:v>3201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7D-4382-9E44-BC471E088B26}"/>
            </c:ext>
          </c:extLst>
        </c:ser>
        <c:ser>
          <c:idx val="1"/>
          <c:order val="1"/>
          <c:tx>
            <c:strRef>
              <c:f>'Compare In-per 2020,16, 18,19'!$D$2</c:f>
              <c:strCache>
                <c:ptCount val="1"/>
                <c:pt idx="0">
                  <c:v>2020 March Running Total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'Compare In-per 2020,16, 18,19'!$D$3:$D$38</c:f>
              <c:numCache>
                <c:formatCode>General</c:formatCode>
                <c:ptCount val="36"/>
                <c:pt idx="4">
                  <c:v>37</c:v>
                </c:pt>
                <c:pt idx="5" formatCode="#,##0">
                  <c:v>0</c:v>
                </c:pt>
                <c:pt idx="6" formatCode="#,##0">
                  <c:v>0</c:v>
                </c:pt>
                <c:pt idx="7" formatCode="#,##0">
                  <c:v>0</c:v>
                </c:pt>
                <c:pt idx="8" formatCode="#,##0">
                  <c:v>0</c:v>
                </c:pt>
                <c:pt idx="9" formatCode="#,##0">
                  <c:v>0</c:v>
                </c:pt>
                <c:pt idx="10" formatCode="#,##0">
                  <c:v>0</c:v>
                </c:pt>
                <c:pt idx="11" formatCode="#,##0">
                  <c:v>0</c:v>
                </c:pt>
                <c:pt idx="12" formatCode="#,##0">
                  <c:v>0</c:v>
                </c:pt>
                <c:pt idx="13" formatCode="#,##0">
                  <c:v>0</c:v>
                </c:pt>
                <c:pt idx="14" formatCode="#,##0">
                  <c:v>0</c:v>
                </c:pt>
                <c:pt idx="15" formatCode="#,##0">
                  <c:v>0</c:v>
                </c:pt>
                <c:pt idx="16" formatCode="#,##0">
                  <c:v>0</c:v>
                </c:pt>
                <c:pt idx="17" formatCode="#,##0">
                  <c:v>0</c:v>
                </c:pt>
                <c:pt idx="18" formatCode="#,##0">
                  <c:v>0</c:v>
                </c:pt>
                <c:pt idx="19" formatCode="#,##0">
                  <c:v>0</c:v>
                </c:pt>
                <c:pt idx="20" formatCode="#,##0">
                  <c:v>0</c:v>
                </c:pt>
                <c:pt idx="21" formatCode="#,##0">
                  <c:v>0</c:v>
                </c:pt>
                <c:pt idx="22" formatCode="#,##0">
                  <c:v>0</c:v>
                </c:pt>
                <c:pt idx="23" formatCode="#,##0">
                  <c:v>0</c:v>
                </c:pt>
                <c:pt idx="24" formatCode="#,##0">
                  <c:v>0</c:v>
                </c:pt>
                <c:pt idx="25" formatCode="#,##0">
                  <c:v>0</c:v>
                </c:pt>
                <c:pt idx="26" formatCode="#,##0">
                  <c:v>0</c:v>
                </c:pt>
                <c:pt idx="27" formatCode="#,##0">
                  <c:v>0</c:v>
                </c:pt>
                <c:pt idx="28" formatCode="#,##0">
                  <c:v>0</c:v>
                </c:pt>
                <c:pt idx="29" formatCode="#,##0">
                  <c:v>0</c:v>
                </c:pt>
                <c:pt idx="30" formatCode="#,##0">
                  <c:v>0</c:v>
                </c:pt>
                <c:pt idx="31" formatCode="#,##0">
                  <c:v>0</c:v>
                </c:pt>
                <c:pt idx="32" formatCode="#,##0">
                  <c:v>0</c:v>
                </c:pt>
                <c:pt idx="33" formatCode="#,##0">
                  <c:v>0</c:v>
                </c:pt>
                <c:pt idx="34" formatCode="#,##0">
                  <c:v>0</c:v>
                </c:pt>
                <c:pt idx="35" formatCode="#,##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7D-4382-9E44-BC471E088B26}"/>
            </c:ext>
          </c:extLst>
        </c:ser>
        <c:ser>
          <c:idx val="4"/>
          <c:order val="4"/>
          <c:tx>
            <c:strRef>
              <c:f>'Compare In-per 2020,16, 18,19'!$P$2</c:f>
              <c:strCache>
                <c:ptCount val="1"/>
                <c:pt idx="0">
                  <c:v>2016 Nov Running Total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In-per 2020,16, 18,19'!$P$2:$P$38</c:f>
              <c:numCache>
                <c:formatCode>General</c:formatCode>
                <c:ptCount val="37"/>
                <c:pt idx="0">
                  <c:v>0</c:v>
                </c:pt>
                <c:pt idx="1">
                  <c:v>424</c:v>
                </c:pt>
                <c:pt idx="2" formatCode="#,##0">
                  <c:v>714</c:v>
                </c:pt>
                <c:pt idx="3" formatCode="#,##0">
                  <c:v>964</c:v>
                </c:pt>
                <c:pt idx="4" formatCode="#,##0">
                  <c:v>1171</c:v>
                </c:pt>
                <c:pt idx="5" formatCode="#,##0">
                  <c:v>1410</c:v>
                </c:pt>
                <c:pt idx="6" formatCode="#,##0">
                  <c:v>1696</c:v>
                </c:pt>
                <c:pt idx="7" formatCode="#,##0">
                  <c:v>3802</c:v>
                </c:pt>
                <c:pt idx="8" formatCode="#,##0">
                  <c:v>4183</c:v>
                </c:pt>
                <c:pt idx="9" formatCode="#,##0">
                  <c:v>4498</c:v>
                </c:pt>
                <c:pt idx="10" formatCode="#,##0">
                  <c:v>4805</c:v>
                </c:pt>
                <c:pt idx="11" formatCode="#,##0">
                  <c:v>5119</c:v>
                </c:pt>
                <c:pt idx="12" formatCode="#,##0">
                  <c:v>5437</c:v>
                </c:pt>
                <c:pt idx="13" formatCode="#,##0">
                  <c:v>8516</c:v>
                </c:pt>
                <c:pt idx="14" formatCode="#,##0">
                  <c:v>8955</c:v>
                </c:pt>
                <c:pt idx="15" formatCode="#,##0">
                  <c:v>9299</c:v>
                </c:pt>
                <c:pt idx="16" formatCode="#,##0">
                  <c:v>9737</c:v>
                </c:pt>
                <c:pt idx="17" formatCode="#,##0">
                  <c:v>10215</c:v>
                </c:pt>
                <c:pt idx="18" formatCode="#,##0">
                  <c:v>14220</c:v>
                </c:pt>
                <c:pt idx="19" formatCode="#,##0">
                  <c:v>16127</c:v>
                </c:pt>
                <c:pt idx="20" formatCode="#,##0">
                  <c:v>18015</c:v>
                </c:pt>
                <c:pt idx="21" formatCode="#,##0">
                  <c:v>19701</c:v>
                </c:pt>
                <c:pt idx="22" formatCode="#,##0">
                  <c:v>21516</c:v>
                </c:pt>
                <c:pt idx="23" formatCode="#,##0">
                  <c:v>23351</c:v>
                </c:pt>
                <c:pt idx="24" formatCode="#,##0">
                  <c:v>27049</c:v>
                </c:pt>
                <c:pt idx="25" formatCode="#,##0">
                  <c:v>29384</c:v>
                </c:pt>
                <c:pt idx="26" formatCode="#,##0">
                  <c:v>31703</c:v>
                </c:pt>
                <c:pt idx="27" formatCode="#,##0">
                  <c:v>33856</c:v>
                </c:pt>
                <c:pt idx="28" formatCode="#,##0">
                  <c:v>36105</c:v>
                </c:pt>
                <c:pt idx="29" formatCode="#,##0">
                  <c:v>39088</c:v>
                </c:pt>
                <c:pt idx="30" formatCode="#,##0">
                  <c:v>43774</c:v>
                </c:pt>
                <c:pt idx="31" formatCode="#,##0">
                  <c:v>47029</c:v>
                </c:pt>
                <c:pt idx="32" formatCode="#,##0">
                  <c:v>50732</c:v>
                </c:pt>
                <c:pt idx="33" formatCode="#,##0">
                  <c:v>54912</c:v>
                </c:pt>
                <c:pt idx="34" formatCode="#,##0">
                  <c:v>60021</c:v>
                </c:pt>
                <c:pt idx="35" formatCode="#,##0">
                  <c:v>67354</c:v>
                </c:pt>
                <c:pt idx="36" formatCode="#,##0">
                  <c:v>77654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02-4473-B7ED-952F538ADDA0}"/>
            </c:ext>
          </c:extLst>
        </c:ser>
        <c:ser>
          <c:idx val="5"/>
          <c:order val="5"/>
          <c:tx>
            <c:strRef>
              <c:f>'Compare In-per 2020,16, 18,19'!$T$2</c:f>
              <c:strCache>
                <c:ptCount val="1"/>
                <c:pt idx="0">
                  <c:v>2019 Nov Running Total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'Compare In-per 2020,16, 18,19'!$T$3:$T$38</c:f>
              <c:numCache>
                <c:formatCode>General</c:formatCode>
                <c:ptCount val="36"/>
                <c:pt idx="1">
                  <c:v>78</c:v>
                </c:pt>
                <c:pt idx="2">
                  <c:v>135</c:v>
                </c:pt>
                <c:pt idx="3">
                  <c:v>183</c:v>
                </c:pt>
                <c:pt idx="4">
                  <c:v>218</c:v>
                </c:pt>
                <c:pt idx="5">
                  <c:v>284</c:v>
                </c:pt>
                <c:pt idx="6" formatCode="#,##0">
                  <c:v>330</c:v>
                </c:pt>
                <c:pt idx="7" formatCode="#,##0">
                  <c:v>398</c:v>
                </c:pt>
                <c:pt idx="8" formatCode="#,##0">
                  <c:v>493</c:v>
                </c:pt>
                <c:pt idx="9" formatCode="#,##0">
                  <c:v>588</c:v>
                </c:pt>
                <c:pt idx="10" formatCode="#,##0">
                  <c:v>723</c:v>
                </c:pt>
                <c:pt idx="11" formatCode="#,##0">
                  <c:v>879</c:v>
                </c:pt>
                <c:pt idx="12" formatCode="#,##0">
                  <c:v>1041</c:v>
                </c:pt>
                <c:pt idx="13" formatCode="#,##0">
                  <c:v>1205</c:v>
                </c:pt>
                <c:pt idx="14" formatCode="#,##0">
                  <c:v>1331</c:v>
                </c:pt>
                <c:pt idx="15" formatCode="#,##0">
                  <c:v>1441</c:v>
                </c:pt>
                <c:pt idx="16" formatCode="#,##0">
                  <c:v>1586</c:v>
                </c:pt>
                <c:pt idx="17" formatCode="#,##0">
                  <c:v>1733</c:v>
                </c:pt>
                <c:pt idx="18" formatCode="#,##0">
                  <c:v>1915</c:v>
                </c:pt>
                <c:pt idx="19" formatCode="#,##0">
                  <c:v>2155</c:v>
                </c:pt>
                <c:pt idx="20" formatCode="#,##0">
                  <c:v>2253</c:v>
                </c:pt>
                <c:pt idx="21" formatCode="#,##0">
                  <c:v>2968</c:v>
                </c:pt>
                <c:pt idx="22" formatCode="#,##0">
                  <c:v>3634</c:v>
                </c:pt>
                <c:pt idx="23" formatCode="#,##0">
                  <c:v>5103</c:v>
                </c:pt>
                <c:pt idx="24" formatCode="#,##0">
                  <c:v>5784</c:v>
                </c:pt>
                <c:pt idx="25" formatCode="#,##0">
                  <c:v>6282</c:v>
                </c:pt>
                <c:pt idx="26" formatCode="#,##0">
                  <c:v>6975</c:v>
                </c:pt>
                <c:pt idx="27" formatCode="#,##0">
                  <c:v>7567</c:v>
                </c:pt>
                <c:pt idx="28" formatCode="#,##0">
                  <c:v>8274</c:v>
                </c:pt>
                <c:pt idx="29" formatCode="#,##0">
                  <c:v>10275</c:v>
                </c:pt>
                <c:pt idx="30" formatCode="#,##0">
                  <c:v>11526</c:v>
                </c:pt>
                <c:pt idx="31" formatCode="#,##0">
                  <c:v>12741</c:v>
                </c:pt>
                <c:pt idx="32" formatCode="#,##0">
                  <c:v>13873</c:v>
                </c:pt>
                <c:pt idx="33" formatCode="#,##0">
                  <c:v>14995</c:v>
                </c:pt>
                <c:pt idx="34" formatCode="#,##0">
                  <c:v>16883</c:v>
                </c:pt>
                <c:pt idx="35" formatCode="#,##0">
                  <c:v>20587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3B-4DBE-941C-A3B7F710632F}"/>
            </c:ext>
          </c:extLst>
        </c:ser>
        <c:ser>
          <c:idx val="6"/>
          <c:order val="6"/>
          <c:tx>
            <c:strRef>
              <c:f>'Compare In-per 2020,16, 18,19'!$R$2</c:f>
              <c:strCache>
                <c:ptCount val="1"/>
                <c:pt idx="0">
                  <c:v>2018 Nov Running Total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'Compare In-per 2020,16, 18,19'!$R$3:$R$38</c:f>
              <c:numCache>
                <c:formatCode>General</c:formatCode>
                <c:ptCount val="36"/>
                <c:pt idx="1">
                  <c:v>219</c:v>
                </c:pt>
                <c:pt idx="2">
                  <c:v>369</c:v>
                </c:pt>
                <c:pt idx="3">
                  <c:v>508</c:v>
                </c:pt>
                <c:pt idx="4">
                  <c:v>637</c:v>
                </c:pt>
                <c:pt idx="5">
                  <c:v>794</c:v>
                </c:pt>
                <c:pt idx="6" formatCode="#,##0">
                  <c:v>998</c:v>
                </c:pt>
                <c:pt idx="7" formatCode="#,##0">
                  <c:v>1222</c:v>
                </c:pt>
                <c:pt idx="8" formatCode="#,##0">
                  <c:v>1482</c:v>
                </c:pt>
                <c:pt idx="9" formatCode="#,##0">
                  <c:v>1739</c:v>
                </c:pt>
                <c:pt idx="10" formatCode="#,##0">
                  <c:v>2124</c:v>
                </c:pt>
                <c:pt idx="11" formatCode="#,##0">
                  <c:v>2486</c:v>
                </c:pt>
                <c:pt idx="12" formatCode="#,##0">
                  <c:v>2987</c:v>
                </c:pt>
                <c:pt idx="13" formatCode="#,##0">
                  <c:v>3461</c:v>
                </c:pt>
                <c:pt idx="14" formatCode="#,##0">
                  <c:v>3709</c:v>
                </c:pt>
                <c:pt idx="15" formatCode="#,##0">
                  <c:v>4071</c:v>
                </c:pt>
                <c:pt idx="16" formatCode="#,##0">
                  <c:v>4402</c:v>
                </c:pt>
                <c:pt idx="17" formatCode="#,##0">
                  <c:v>8133</c:v>
                </c:pt>
                <c:pt idx="18" formatCode="#,##0">
                  <c:v>9928</c:v>
                </c:pt>
                <c:pt idx="19" formatCode="#,##0">
                  <c:v>11362</c:v>
                </c:pt>
                <c:pt idx="20" formatCode="#,##0">
                  <c:v>12613</c:v>
                </c:pt>
                <c:pt idx="21" formatCode="#,##0">
                  <c:v>13883</c:v>
                </c:pt>
                <c:pt idx="22" formatCode="#,##0">
                  <c:v>15322</c:v>
                </c:pt>
                <c:pt idx="23" formatCode="#,##0">
                  <c:v>18410</c:v>
                </c:pt>
                <c:pt idx="24" formatCode="#,##0">
                  <c:v>19971</c:v>
                </c:pt>
                <c:pt idx="25" formatCode="#,##0">
                  <c:v>21410</c:v>
                </c:pt>
                <c:pt idx="26" formatCode="#,##0">
                  <c:v>22836</c:v>
                </c:pt>
                <c:pt idx="27" formatCode="#,##0">
                  <c:v>24286</c:v>
                </c:pt>
                <c:pt idx="28" formatCode="#,##0">
                  <c:v>25831</c:v>
                </c:pt>
                <c:pt idx="29" formatCode="#,##0">
                  <c:v>29577</c:v>
                </c:pt>
                <c:pt idx="30" formatCode="#,##0">
                  <c:v>31808</c:v>
                </c:pt>
                <c:pt idx="31" formatCode="#,##0">
                  <c:v>33985</c:v>
                </c:pt>
                <c:pt idx="32" formatCode="#,##0">
                  <c:v>36004</c:v>
                </c:pt>
                <c:pt idx="33" formatCode="#,##0">
                  <c:v>38452</c:v>
                </c:pt>
                <c:pt idx="34" formatCode="#,##0">
                  <c:v>41682</c:v>
                </c:pt>
                <c:pt idx="35" formatCode="#,##0">
                  <c:v>47443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3B-4DBE-941C-A3B7F7106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625808"/>
        <c:axId val="78462646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'Compare In-per 2020,16, 18,19'!$R$2</c15:sqref>
                        </c15:formulaRef>
                      </c:ext>
                    </c:extLst>
                    <c:strCache>
                      <c:ptCount val="1"/>
                      <c:pt idx="0">
                        <c:v>2018 Nov Running 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'Compare In-per 2020,16, 18,19'!$R$40:$R$46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933-462D-9AF1-60142E5E59C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'Compare In-per 2020,16, 18,19'!$R$2</c15:sqref>
                        </c15:formulaRef>
                      </c:ext>
                    </c:extLst>
                    <c:strCache>
                      <c:ptCount val="1"/>
                      <c:pt idx="0">
                        <c:v>2018 Nov Running Total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'Compare In-per 2020,16, 18,19'!$T$3:$T$38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1">
                        <c:v>78</c:v>
                      </c:pt>
                      <c:pt idx="2">
                        <c:v>135</c:v>
                      </c:pt>
                      <c:pt idx="3">
                        <c:v>183</c:v>
                      </c:pt>
                      <c:pt idx="4">
                        <c:v>218</c:v>
                      </c:pt>
                      <c:pt idx="5">
                        <c:v>284</c:v>
                      </c:pt>
                      <c:pt idx="6" formatCode="#,##0">
                        <c:v>330</c:v>
                      </c:pt>
                      <c:pt idx="7" formatCode="#,##0">
                        <c:v>398</c:v>
                      </c:pt>
                      <c:pt idx="8" formatCode="#,##0">
                        <c:v>493</c:v>
                      </c:pt>
                      <c:pt idx="9" formatCode="#,##0">
                        <c:v>588</c:v>
                      </c:pt>
                      <c:pt idx="10" formatCode="#,##0">
                        <c:v>723</c:v>
                      </c:pt>
                      <c:pt idx="11" formatCode="#,##0">
                        <c:v>879</c:v>
                      </c:pt>
                      <c:pt idx="12" formatCode="#,##0">
                        <c:v>1041</c:v>
                      </c:pt>
                      <c:pt idx="13" formatCode="#,##0">
                        <c:v>1205</c:v>
                      </c:pt>
                      <c:pt idx="14" formatCode="#,##0">
                        <c:v>1331</c:v>
                      </c:pt>
                      <c:pt idx="15" formatCode="#,##0">
                        <c:v>1441</c:v>
                      </c:pt>
                      <c:pt idx="16" formatCode="#,##0">
                        <c:v>1586</c:v>
                      </c:pt>
                      <c:pt idx="17" formatCode="#,##0">
                        <c:v>1733</c:v>
                      </c:pt>
                      <c:pt idx="18" formatCode="#,##0">
                        <c:v>1915</c:v>
                      </c:pt>
                      <c:pt idx="19" formatCode="#,##0">
                        <c:v>2155</c:v>
                      </c:pt>
                      <c:pt idx="20" formatCode="#,##0">
                        <c:v>2253</c:v>
                      </c:pt>
                      <c:pt idx="21" formatCode="#,##0">
                        <c:v>2968</c:v>
                      </c:pt>
                      <c:pt idx="22" formatCode="#,##0">
                        <c:v>3634</c:v>
                      </c:pt>
                      <c:pt idx="23" formatCode="#,##0">
                        <c:v>5103</c:v>
                      </c:pt>
                      <c:pt idx="24" formatCode="#,##0">
                        <c:v>5784</c:v>
                      </c:pt>
                      <c:pt idx="25" formatCode="#,##0">
                        <c:v>6282</c:v>
                      </c:pt>
                      <c:pt idx="26" formatCode="#,##0">
                        <c:v>6975</c:v>
                      </c:pt>
                      <c:pt idx="27" formatCode="#,##0">
                        <c:v>7567</c:v>
                      </c:pt>
                      <c:pt idx="28" formatCode="#,##0">
                        <c:v>8274</c:v>
                      </c:pt>
                      <c:pt idx="29" formatCode="#,##0">
                        <c:v>10275</c:v>
                      </c:pt>
                      <c:pt idx="30" formatCode="#,##0">
                        <c:v>11526</c:v>
                      </c:pt>
                      <c:pt idx="31" formatCode="#,##0">
                        <c:v>12741</c:v>
                      </c:pt>
                      <c:pt idx="32" formatCode="#,##0">
                        <c:v>13873</c:v>
                      </c:pt>
                      <c:pt idx="33" formatCode="#,##0">
                        <c:v>14995</c:v>
                      </c:pt>
                      <c:pt idx="34" formatCode="#,##0">
                        <c:v>16883</c:v>
                      </c:pt>
                      <c:pt idx="35" formatCode="#,##0">
                        <c:v>20587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933-462D-9AF1-60142E5E59C4}"/>
                  </c:ext>
                </c:extLst>
              </c15:ser>
            </c15:filteredLineSeries>
          </c:ext>
        </c:extLst>
      </c:lineChart>
      <c:catAx>
        <c:axId val="784625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5038026642152662"/>
              <c:y val="0.837035472125150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626464"/>
        <c:crosses val="autoZero"/>
        <c:auto val="1"/>
        <c:lblAlgn val="ctr"/>
        <c:lblOffset val="100"/>
        <c:noMultiLvlLbl val="0"/>
      </c:catAx>
      <c:valAx>
        <c:axId val="78462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62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bg1">
          <a:lumMod val="50000"/>
        </a:schemeClr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396115</xdr:colOff>
      <xdr:row>3</xdr:row>
      <xdr:rowOff>13666</xdr:rowOff>
    </xdr:from>
    <xdr:to>
      <xdr:col>14</xdr:col>
      <xdr:colOff>207065</xdr:colOff>
      <xdr:row>18</xdr:row>
      <xdr:rowOff>42241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84D01-732A-4C5F-AEC9-EBF94D204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345573</xdr:colOff>
      <xdr:row>3</xdr:row>
      <xdr:rowOff>71173</xdr:rowOff>
    </xdr:from>
    <xdr:to>
      <xdr:col>23</xdr:col>
      <xdr:colOff>225092</xdr:colOff>
      <xdr:row>25</xdr:row>
      <xdr:rowOff>168089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F172C5-AC27-4186-A75C-AD8722159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481053</xdr:colOff>
      <xdr:row>29</xdr:row>
      <xdr:rowOff>17245</xdr:rowOff>
    </xdr:from>
    <xdr:to>
      <xdr:col>23</xdr:col>
      <xdr:colOff>591373</xdr:colOff>
      <xdr:row>54</xdr:row>
      <xdr:rowOff>105464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D09BC6-3984-4601-BFDC-278FC9BF4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12024" y="6236510"/>
          <a:ext cx="5578790" cy="4570572"/>
        </a:xfrm>
        <a:prstGeom prst="rect">
          <a:avLst/>
        </a:prstGeom>
      </xdr:spPr>
    </xdr:pic>
    <xdr:clientData/>
  </xdr:twoCellAnchor>
  <xdr:twoCellAnchor editAs="oneCell">
    <xdr:from>
      <xdr:col>6</xdr:col>
      <xdr:colOff>595351</xdr:colOff>
      <xdr:row>29</xdr:row>
      <xdr:rowOff>111179</xdr:rowOff>
    </xdr:from>
    <xdr:to>
      <xdr:col>15</xdr:col>
      <xdr:colOff>173230</xdr:colOff>
      <xdr:row>53</xdr:row>
      <xdr:rowOff>101654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5042D6-8986-44D4-8002-E19874FCC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74292" y="6330444"/>
          <a:ext cx="5729909" cy="4293534"/>
        </a:xfrm>
        <a:prstGeom prst="rect">
          <a:avLst/>
        </a:prstGeom>
      </xdr:spPr>
    </xdr:pic>
    <xdr:clientData/>
  </xdr:twoCellAnchor>
  <xdr:twoCellAnchor>
    <xdr:from>
      <xdr:col>31</xdr:col>
      <xdr:colOff>414616</xdr:colOff>
      <xdr:row>8</xdr:row>
      <xdr:rowOff>158004</xdr:rowOff>
    </xdr:from>
    <xdr:to>
      <xdr:col>38</xdr:col>
      <xdr:colOff>201704</xdr:colOff>
      <xdr:row>24</xdr:row>
      <xdr:rowOff>32498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1F5647-1E31-44D6-A22A-F7A4383FA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61911</xdr:colOff>
      <xdr:row>5</xdr:row>
      <xdr:rowOff>19050</xdr:rowOff>
    </xdr:from>
    <xdr:to>
      <xdr:col>15</xdr:col>
      <xdr:colOff>38100</xdr:colOff>
      <xdr:row>27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11AE6B-A7DF-4AA3-B17E-A9FD69C6E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</xdr:row>
      <xdr:rowOff>61912</xdr:rowOff>
    </xdr:from>
    <xdr:to>
      <xdr:col>13</xdr:col>
      <xdr:colOff>676275</xdr:colOff>
      <xdr:row>31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0E01CF-BBC2-45F5-A526-38D0012B3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123824</xdr:colOff>
      <xdr:row>3</xdr:row>
      <xdr:rowOff>66675</xdr:rowOff>
    </xdr:from>
    <xdr:to>
      <xdr:col>13</xdr:col>
      <xdr:colOff>104775</xdr:colOff>
      <xdr:row>33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17ABF9-BAEF-4487-B28B-6349AEDFC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19AC-4B60-4034-B039-48883F8D6D16}">
  <sheetPr>
    <pageSetUpPr fitToPage="1"/>
  </sheetPr>
  <dimension ref="A1:P27"/>
  <sheetViews>
    <sheetView showGridLines="0" tabSelected="1" topLeftCell="A2" zoomScale="85" zoomScaleNormal="85" workbookViewId="0">
      <selection activeCell="G8" sqref="G8"/>
    </sheetView>
  </sheetViews>
  <sheetFormatPr defaultRowHeight="14.25" x14ac:dyDescent="0.2"/>
  <cols>
    <col min="1" max="1" width="17.75" style="1" customWidth="1"/>
    <col min="2" max="2" width="16.125" style="1" customWidth="1"/>
    <col min="3" max="3" width="17.25" style="1" customWidth="1"/>
    <col min="4" max="5" width="16.5" style="1" customWidth="1"/>
    <col min="6" max="7" width="15.625" style="1" customWidth="1"/>
    <col min="8" max="8" width="13.5" style="1" bestFit="1" customWidth="1"/>
    <col min="9" max="16384" width="9" style="1"/>
  </cols>
  <sheetData>
    <row r="1" spans="1:16" ht="18" x14ac:dyDescent="0.25">
      <c r="A1" s="800" t="s">
        <v>0</v>
      </c>
      <c r="B1" s="800"/>
      <c r="C1" s="800"/>
      <c r="D1" s="800"/>
      <c r="E1" s="800"/>
    </row>
    <row r="2" spans="1:16" ht="18" x14ac:dyDescent="0.25">
      <c r="A2" s="800" t="s">
        <v>60</v>
      </c>
      <c r="B2" s="800"/>
      <c r="C2" s="800"/>
      <c r="D2" s="800"/>
      <c r="E2" s="800"/>
    </row>
    <row r="3" spans="1:16" ht="18" x14ac:dyDescent="0.25">
      <c r="A3" s="801" t="s">
        <v>61</v>
      </c>
      <c r="B3" s="801"/>
      <c r="C3" s="801"/>
      <c r="D3" s="801"/>
      <c r="E3" s="801"/>
    </row>
    <row r="4" spans="1:16" ht="11.25" customHeight="1" x14ac:dyDescent="0.2">
      <c r="A4" s="126"/>
      <c r="B4" s="127"/>
      <c r="C4" s="127"/>
      <c r="D4" s="127"/>
      <c r="E4" s="127"/>
    </row>
    <row r="5" spans="1:16" ht="23.25" x14ac:dyDescent="0.35">
      <c r="A5" s="799" t="s">
        <v>1</v>
      </c>
      <c r="B5" s="799"/>
      <c r="C5" s="799"/>
      <c r="D5" s="799"/>
      <c r="E5" s="799"/>
    </row>
    <row r="6" spans="1:16" x14ac:dyDescent="0.2">
      <c r="A6" s="126"/>
      <c r="B6" s="128"/>
      <c r="C6" s="128"/>
      <c r="D6" s="128"/>
      <c r="E6" s="128"/>
      <c r="F6" s="123"/>
      <c r="G6" s="123"/>
      <c r="H6" s="123"/>
      <c r="I6" s="123"/>
      <c r="J6" s="123"/>
      <c r="K6" s="125"/>
      <c r="L6" s="125"/>
      <c r="M6" s="125"/>
      <c r="N6" s="125"/>
      <c r="O6" s="125"/>
      <c r="P6" s="125"/>
    </row>
    <row r="7" spans="1:16" ht="50.25" customHeight="1" thickBot="1" x14ac:dyDescent="0.25">
      <c r="A7" s="129" t="s">
        <v>16</v>
      </c>
      <c r="B7" s="130" t="s">
        <v>2</v>
      </c>
      <c r="C7" s="129" t="s">
        <v>82</v>
      </c>
      <c r="D7" s="130" t="s">
        <v>75</v>
      </c>
      <c r="E7" s="130" t="s">
        <v>3</v>
      </c>
      <c r="F7" s="795" t="s">
        <v>110</v>
      </c>
      <c r="G7" s="792" t="s">
        <v>99</v>
      </c>
      <c r="H7" s="123"/>
      <c r="I7" s="123"/>
      <c r="J7" s="123"/>
      <c r="K7" s="123"/>
      <c r="L7" s="123"/>
      <c r="M7" s="123"/>
      <c r="N7" s="125"/>
      <c r="O7" s="125"/>
      <c r="P7" s="125"/>
    </row>
    <row r="8" spans="1:16" ht="39.950000000000003" customHeight="1" x14ac:dyDescent="0.2">
      <c r="A8" s="231">
        <v>8</v>
      </c>
      <c r="B8" s="266">
        <f>Mailout!I53</f>
        <v>82008</v>
      </c>
      <c r="C8" s="266">
        <f>'Return by Mail'!L57</f>
        <v>41644</v>
      </c>
      <c r="D8" s="266">
        <f>'Return by Dropbox'!C53</f>
        <v>24107</v>
      </c>
      <c r="E8" s="266">
        <f>'In-Person Daily by Satellite'!C50</f>
        <v>56362</v>
      </c>
      <c r="F8" s="796">
        <f>SUM(C8:D8)</f>
        <v>65751</v>
      </c>
      <c r="G8" s="785">
        <f>SUM(E8:F8)</f>
        <v>122113</v>
      </c>
      <c r="H8" s="121"/>
      <c r="I8" s="123"/>
      <c r="J8" s="123"/>
      <c r="K8" s="123"/>
      <c r="L8" s="123"/>
      <c r="M8" s="123"/>
      <c r="N8" s="125"/>
      <c r="O8" s="125"/>
      <c r="P8" s="125"/>
    </row>
    <row r="9" spans="1:16" ht="39.950000000000003" customHeight="1" x14ac:dyDescent="0.2">
      <c r="A9" s="232">
        <v>10</v>
      </c>
      <c r="B9" s="267">
        <f>Mailout!M53</f>
        <v>51935</v>
      </c>
      <c r="C9" s="267">
        <f>'Return by Mail'!Q57</f>
        <v>32275</v>
      </c>
      <c r="D9" s="267">
        <f>'Return by Dropbox'!D53</f>
        <v>17231</v>
      </c>
      <c r="E9" s="267">
        <f>'In-Person Daily by Satellite'!D50</f>
        <v>41940</v>
      </c>
      <c r="F9" s="796">
        <f t="shared" ref="F9:F12" si="0">SUM(C9:D9)</f>
        <v>49506</v>
      </c>
      <c r="G9" s="785">
        <f t="shared" ref="G9:G11" si="1">SUM(E9:F9)</f>
        <v>91446</v>
      </c>
      <c r="H9" s="793"/>
      <c r="I9" s="123"/>
      <c r="J9" s="121"/>
      <c r="K9" s="125"/>
      <c r="L9" s="125"/>
      <c r="M9" s="125"/>
      <c r="N9" s="125"/>
      <c r="O9" s="125"/>
      <c r="P9" s="125"/>
    </row>
    <row r="10" spans="1:16" ht="39.950000000000003" customHeight="1" x14ac:dyDescent="0.2">
      <c r="A10" s="383">
        <v>11</v>
      </c>
      <c r="B10" s="385">
        <f>Mailout!Q53</f>
        <v>130890</v>
      </c>
      <c r="C10" s="384">
        <f>'Return by Mail'!V57</f>
        <v>64853</v>
      </c>
      <c r="D10" s="384">
        <f>'Return by Dropbox'!E53</f>
        <v>42611</v>
      </c>
      <c r="E10" s="384">
        <f>'In-Person Daily by Satellite'!E50</f>
        <v>91803</v>
      </c>
      <c r="F10" s="796">
        <f t="shared" si="0"/>
        <v>107464</v>
      </c>
      <c r="G10" s="785">
        <f t="shared" si="1"/>
        <v>199267</v>
      </c>
      <c r="H10" s="121"/>
      <c r="I10" s="123"/>
      <c r="J10" s="123"/>
      <c r="K10" s="125"/>
      <c r="L10" s="125"/>
      <c r="M10" s="125"/>
      <c r="N10" s="125"/>
      <c r="O10" s="125"/>
      <c r="P10" s="125"/>
    </row>
    <row r="11" spans="1:16" ht="39.950000000000003" customHeight="1" thickBot="1" x14ac:dyDescent="0.25">
      <c r="A11" s="233" t="s">
        <v>77</v>
      </c>
      <c r="B11" s="414">
        <f>Mailout!U53</f>
        <v>4078</v>
      </c>
      <c r="C11" s="268">
        <f>'Return by Mail'!AA57</f>
        <v>2237</v>
      </c>
      <c r="D11" s="268">
        <f>'Return by Dropbox'!F53</f>
        <v>1218</v>
      </c>
      <c r="E11" s="268">
        <f>'In-Person Daily by Satellite'!F50</f>
        <v>3491</v>
      </c>
      <c r="F11" s="796">
        <f t="shared" si="0"/>
        <v>3455</v>
      </c>
      <c r="G11" s="785">
        <f t="shared" si="1"/>
        <v>6946</v>
      </c>
      <c r="H11" s="121"/>
      <c r="I11" s="121"/>
      <c r="J11" s="121">
        <f>SUM(D8:D11)</f>
        <v>85167</v>
      </c>
      <c r="K11" s="125"/>
      <c r="L11" s="125"/>
      <c r="M11" s="125"/>
      <c r="N11" s="125"/>
      <c r="O11" s="125"/>
      <c r="P11" s="125"/>
    </row>
    <row r="12" spans="1:16" ht="35.1" customHeight="1" x14ac:dyDescent="0.2">
      <c r="A12" s="131" t="s">
        <v>5</v>
      </c>
      <c r="B12" s="132">
        <f>SUM(B8:B11)</f>
        <v>268911</v>
      </c>
      <c r="C12" s="132">
        <f>SUM(C8:C11)</f>
        <v>141009</v>
      </c>
      <c r="D12" s="132">
        <f>'Return by Dropbox'!B5</f>
        <v>85292</v>
      </c>
      <c r="E12" s="132">
        <f>SUM(E8:E11)</f>
        <v>193596</v>
      </c>
      <c r="F12" s="796">
        <f t="shared" si="0"/>
        <v>226301</v>
      </c>
      <c r="G12" s="794">
        <f>SUM(G8:G11)</f>
        <v>419772</v>
      </c>
      <c r="H12" s="123"/>
      <c r="I12" s="123"/>
      <c r="J12" s="123"/>
      <c r="K12" s="364"/>
      <c r="L12" s="125"/>
      <c r="M12" s="125"/>
      <c r="N12" s="125"/>
      <c r="O12" s="125"/>
      <c r="P12" s="125"/>
    </row>
    <row r="13" spans="1:16" ht="14.25" customHeight="1" x14ac:dyDescent="0.2">
      <c r="A13" s="77"/>
      <c r="B13" s="77"/>
      <c r="C13" s="77"/>
      <c r="D13" s="77"/>
      <c r="E13" s="125"/>
      <c r="F13" s="123"/>
      <c r="G13" s="121" t="s">
        <v>111</v>
      </c>
      <c r="H13" s="121"/>
      <c r="I13" s="123"/>
      <c r="J13" s="123"/>
      <c r="K13" s="125"/>
      <c r="L13" s="125"/>
      <c r="M13" s="125"/>
      <c r="N13" s="125"/>
      <c r="O13" s="125"/>
      <c r="P13" s="125"/>
    </row>
    <row r="14" spans="1:16" ht="35.1" customHeight="1" x14ac:dyDescent="0.2">
      <c r="A14" s="77"/>
      <c r="B14" s="798" t="s">
        <v>4</v>
      </c>
      <c r="C14" s="798"/>
      <c r="D14" s="513">
        <f>SUM(C12:E12)</f>
        <v>419897</v>
      </c>
      <c r="E14" s="125"/>
      <c r="F14" s="123"/>
      <c r="G14" s="121"/>
      <c r="H14" s="121"/>
      <c r="I14" s="121"/>
      <c r="J14" s="123"/>
      <c r="K14" s="125"/>
      <c r="L14" s="125"/>
      <c r="M14" s="125"/>
      <c r="N14" s="125"/>
      <c r="O14" s="125"/>
      <c r="P14" s="125"/>
    </row>
    <row r="15" spans="1:16" ht="9.75" customHeight="1" x14ac:dyDescent="0.2">
      <c r="A15" s="77"/>
      <c r="B15" s="569"/>
      <c r="C15" s="569"/>
      <c r="D15" s="570"/>
      <c r="E15" s="125"/>
      <c r="F15" s="123"/>
      <c r="G15" s="123"/>
      <c r="H15" s="121"/>
      <c r="I15" s="121"/>
      <c r="J15" s="123"/>
      <c r="K15" s="125"/>
      <c r="L15" s="125"/>
      <c r="M15" s="125"/>
      <c r="N15" s="125"/>
      <c r="O15" s="125"/>
      <c r="P15" s="125"/>
    </row>
    <row r="16" spans="1:16" ht="35.1" customHeight="1" x14ac:dyDescent="0.2">
      <c r="A16" s="798" t="s">
        <v>90</v>
      </c>
      <c r="B16" s="798"/>
      <c r="C16" s="802"/>
      <c r="D16" s="513">
        <f>C12+D12</f>
        <v>226301</v>
      </c>
      <c r="E16" s="125"/>
      <c r="F16" s="575"/>
      <c r="G16" s="575"/>
      <c r="H16" s="575"/>
      <c r="I16" s="575"/>
      <c r="J16" s="367"/>
      <c r="K16" s="125"/>
      <c r="L16" s="125"/>
      <c r="M16" s="125"/>
      <c r="N16" s="125"/>
      <c r="O16" s="125"/>
      <c r="P16" s="125"/>
    </row>
    <row r="17" spans="1:16" ht="35.1" customHeight="1" x14ac:dyDescent="0.2">
      <c r="A17" s="715"/>
      <c r="B17" s="715"/>
      <c r="C17" s="606" t="s">
        <v>107</v>
      </c>
      <c r="D17" s="366">
        <f>D16/B12</f>
        <v>0.84154608773906614</v>
      </c>
      <c r="E17" s="125"/>
      <c r="F17" s="575"/>
      <c r="G17" s="575"/>
      <c r="H17" s="575"/>
      <c r="I17" s="575"/>
      <c r="J17" s="367"/>
      <c r="K17" s="125"/>
      <c r="L17" s="125"/>
      <c r="M17" s="125"/>
      <c r="N17" s="125"/>
      <c r="O17" s="125"/>
      <c r="P17" s="125"/>
    </row>
    <row r="18" spans="1:16" ht="41.25" customHeight="1" x14ac:dyDescent="0.2">
      <c r="A18" s="803" t="s">
        <v>108</v>
      </c>
      <c r="B18" s="803"/>
      <c r="C18" s="804"/>
      <c r="D18" s="513">
        <f>'G''rods &amp; Surrendered'!E2</f>
        <v>17633</v>
      </c>
      <c r="E18" s="364"/>
      <c r="F18" s="575"/>
      <c r="G18" s="575"/>
      <c r="H18" s="575"/>
      <c r="I18" s="575"/>
      <c r="J18" s="367"/>
      <c r="K18" s="125"/>
      <c r="L18" s="125"/>
      <c r="M18" s="125"/>
      <c r="N18" s="125"/>
      <c r="O18" s="125"/>
      <c r="P18" s="125"/>
    </row>
    <row r="19" spans="1:16" ht="39" customHeight="1" x14ac:dyDescent="0.25">
      <c r="A19" s="805" t="s">
        <v>109</v>
      </c>
      <c r="B19" s="805"/>
      <c r="C19" s="806"/>
      <c r="D19" s="366">
        <f>(D16+D18)/B12</f>
        <v>0.90711796839846637</v>
      </c>
      <c r="F19" s="724"/>
      <c r="G19" s="364"/>
      <c r="H19" s="125"/>
      <c r="I19" s="125"/>
      <c r="J19" s="125"/>
      <c r="K19" s="125"/>
      <c r="L19" s="125"/>
      <c r="M19" s="125"/>
      <c r="N19" s="125"/>
      <c r="O19" s="125"/>
      <c r="P19" s="125"/>
    </row>
    <row r="20" spans="1:16" ht="27" customHeight="1" x14ac:dyDescent="0.25">
      <c r="A20" s="723"/>
      <c r="F20" s="732"/>
      <c r="G20" s="125"/>
      <c r="H20" s="125"/>
      <c r="I20" s="125"/>
      <c r="J20" s="125"/>
      <c r="K20" s="125"/>
      <c r="L20" s="125"/>
      <c r="M20" s="125"/>
      <c r="N20" s="125"/>
      <c r="O20" s="125"/>
      <c r="P20" s="125"/>
    </row>
    <row r="21" spans="1:16" x14ac:dyDescent="0.2">
      <c r="A21" s="77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</row>
    <row r="22" spans="1:16" ht="35.25" customHeight="1" x14ac:dyDescent="0.2">
      <c r="A22" s="797"/>
      <c r="B22" s="797"/>
      <c r="C22" s="797"/>
      <c r="D22" s="797"/>
      <c r="F22" s="125"/>
      <c r="G22" s="125"/>
      <c r="H22" s="125"/>
      <c r="I22" s="125"/>
      <c r="J22" s="125"/>
      <c r="K22" s="125"/>
    </row>
    <row r="23" spans="1:16" ht="15" x14ac:dyDescent="0.25">
      <c r="F23" s="728"/>
      <c r="G23" s="125"/>
      <c r="H23" s="125"/>
      <c r="I23" s="125"/>
      <c r="J23" s="125"/>
      <c r="K23" s="125"/>
    </row>
    <row r="24" spans="1:16" x14ac:dyDescent="0.2">
      <c r="D24" s="1" t="s">
        <v>51</v>
      </c>
      <c r="F24" s="125"/>
      <c r="G24" s="364"/>
      <c r="H24" s="125"/>
      <c r="I24" s="125"/>
      <c r="J24" s="125"/>
      <c r="K24" s="125"/>
    </row>
    <row r="25" spans="1:16" x14ac:dyDescent="0.2">
      <c r="F25" s="125"/>
      <c r="G25" s="125"/>
      <c r="H25" s="125"/>
      <c r="I25" s="125"/>
      <c r="J25" s="125"/>
      <c r="K25" s="125"/>
    </row>
    <row r="26" spans="1:16" x14ac:dyDescent="0.2">
      <c r="F26" s="123"/>
      <c r="G26" s="123"/>
      <c r="H26" s="123"/>
      <c r="I26" s="123"/>
      <c r="J26" s="123"/>
    </row>
    <row r="27" spans="1:16" x14ac:dyDescent="0.2">
      <c r="F27" s="123"/>
      <c r="G27" s="123"/>
      <c r="H27" s="123"/>
      <c r="I27" s="123"/>
      <c r="J27" s="123"/>
    </row>
  </sheetData>
  <sheetProtection algorithmName="SHA-512" hashValue="ZNFGHtRUXSsMkLa4SbQUjGJ1ib0+YMIpCPaBShiSRny85XrDo+E5mfooy7bCh6QkmiJI50F2ikEd3rMyjVRp4g==" saltValue="152MAQOCwYulxC9q/bI4pw==" spinCount="100000" sheet="1" objects="1" scenarios="1"/>
  <mergeCells count="9">
    <mergeCell ref="A22:D22"/>
    <mergeCell ref="B14:C14"/>
    <mergeCell ref="A5:E5"/>
    <mergeCell ref="A1:E1"/>
    <mergeCell ref="A2:E2"/>
    <mergeCell ref="A3:E3"/>
    <mergeCell ref="A16:C16"/>
    <mergeCell ref="A18:C18"/>
    <mergeCell ref="A19:C19"/>
  </mergeCells>
  <pageMargins left="0.7" right="0.7" top="0.75" bottom="0.75" header="0.3" footer="0.3"/>
  <pageSetup scale="87" orientation="landscape" r:id="rId1"/>
  <headerFooter>
    <oddFooter xml:space="preserve">&amp;R&amp;D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056ED-0219-41F9-8DBF-5FC0E7B123BA}">
  <sheetPr>
    <pageSetUpPr fitToPage="1"/>
  </sheetPr>
  <dimension ref="A1:CW63"/>
  <sheetViews>
    <sheetView showGridLines="0" zoomScale="85" zoomScaleNormal="85" workbookViewId="0">
      <pane ySplit="6" topLeftCell="A45" activePane="bottomLeft" state="frozen"/>
      <selection pane="bottomLeft" activeCell="J61" sqref="J61"/>
    </sheetView>
  </sheetViews>
  <sheetFormatPr defaultRowHeight="14.25" x14ac:dyDescent="0.2"/>
  <cols>
    <col min="1" max="1" width="11.75" style="72" customWidth="1"/>
    <col min="2" max="3" width="9" style="1"/>
    <col min="4" max="4" width="12" style="1" bestFit="1" customWidth="1"/>
    <col min="5" max="5" width="11.75" style="1" customWidth="1"/>
    <col min="6" max="7" width="9" style="1"/>
    <col min="8" max="8" width="9" style="72"/>
    <col min="9" max="13" width="9" style="1"/>
    <col min="14" max="14" width="10.125" style="1" bestFit="1" customWidth="1"/>
    <col min="15" max="16384" width="9" style="1"/>
  </cols>
  <sheetData>
    <row r="1" spans="1:101" ht="28.5" customHeight="1" x14ac:dyDescent="0.35">
      <c r="A1" s="807" t="s">
        <v>6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</row>
    <row r="2" spans="1:101" ht="10.5" customHeight="1" x14ac:dyDescent="0.25">
      <c r="A2" s="800"/>
      <c r="B2" s="800"/>
      <c r="C2" s="800"/>
      <c r="D2" s="800"/>
      <c r="E2" s="800"/>
    </row>
    <row r="3" spans="1:101" ht="18" x14ac:dyDescent="0.25">
      <c r="A3" s="801" t="s">
        <v>55</v>
      </c>
      <c r="B3" s="801"/>
      <c r="C3" s="801"/>
      <c r="D3" s="801"/>
      <c r="E3" s="801"/>
      <c r="F3" s="801"/>
      <c r="G3" s="801"/>
      <c r="H3" s="801"/>
      <c r="I3" s="801"/>
      <c r="J3" s="801"/>
      <c r="K3" s="801"/>
      <c r="L3" s="801"/>
      <c r="M3" s="801"/>
      <c r="N3" s="801"/>
      <c r="O3" s="801"/>
      <c r="P3" s="801"/>
      <c r="Q3" s="801"/>
    </row>
    <row r="4" spans="1:101" ht="20.25" x14ac:dyDescent="0.3">
      <c r="A4" s="71"/>
      <c r="B4" s="71"/>
      <c r="C4" s="71"/>
      <c r="D4" s="71"/>
      <c r="E4" s="71"/>
      <c r="F4" s="113"/>
      <c r="G4" s="113"/>
      <c r="H4" s="71"/>
      <c r="I4" s="113"/>
    </row>
    <row r="5" spans="1:101" s="79" customFormat="1" ht="37.5" customHeight="1" x14ac:dyDescent="0.2">
      <c r="A5" s="78"/>
      <c r="B5" s="817" t="s">
        <v>80</v>
      </c>
      <c r="C5" s="818"/>
      <c r="D5" s="818"/>
      <c r="E5" s="630">
        <f>E53</f>
        <v>268982</v>
      </c>
      <c r="F5" s="816" t="s">
        <v>17</v>
      </c>
      <c r="G5" s="816"/>
      <c r="H5" s="816"/>
      <c r="I5" s="816"/>
      <c r="J5" s="810" t="s">
        <v>18</v>
      </c>
      <c r="K5" s="810"/>
      <c r="L5" s="810"/>
      <c r="M5" s="810"/>
      <c r="N5" s="811" t="s">
        <v>19</v>
      </c>
      <c r="O5" s="812"/>
      <c r="P5" s="812"/>
      <c r="Q5" s="813"/>
      <c r="R5" s="811" t="s">
        <v>76</v>
      </c>
      <c r="S5" s="812"/>
      <c r="T5" s="812"/>
      <c r="U5" s="814"/>
      <c r="V5" s="382"/>
      <c r="W5" s="809"/>
      <c r="X5" s="809"/>
      <c r="Y5" s="809"/>
      <c r="Z5" s="809"/>
      <c r="AA5" s="809"/>
      <c r="AB5" s="809"/>
      <c r="AC5" s="809"/>
      <c r="AD5" s="809"/>
      <c r="AE5" s="809"/>
      <c r="AF5" s="809"/>
      <c r="AG5" s="809"/>
      <c r="AH5" s="809"/>
      <c r="AI5" s="809"/>
      <c r="AJ5" s="809"/>
      <c r="AK5" s="809"/>
      <c r="AL5" s="809"/>
      <c r="AM5" s="809"/>
      <c r="AN5" s="809"/>
      <c r="AO5" s="809"/>
      <c r="AP5" s="809"/>
      <c r="AQ5" s="809"/>
      <c r="AR5" s="809"/>
      <c r="AS5" s="809"/>
      <c r="AT5" s="809"/>
      <c r="AU5" s="809"/>
      <c r="AV5" s="808"/>
      <c r="AW5" s="808"/>
      <c r="AX5" s="808"/>
      <c r="AY5" s="808"/>
      <c r="AZ5" s="808"/>
      <c r="BA5" s="808"/>
      <c r="BB5" s="808"/>
      <c r="BC5" s="808"/>
      <c r="BD5" s="808"/>
      <c r="BE5" s="808"/>
      <c r="BF5" s="808"/>
      <c r="BG5" s="808"/>
      <c r="BH5" s="808"/>
      <c r="BI5" s="808"/>
      <c r="BJ5" s="808"/>
      <c r="BK5" s="808"/>
      <c r="BL5" s="808"/>
      <c r="BM5" s="808"/>
      <c r="BN5" s="808"/>
      <c r="BO5" s="808"/>
      <c r="BP5" s="808"/>
      <c r="BQ5" s="808"/>
      <c r="BR5" s="808"/>
      <c r="BS5" s="808"/>
      <c r="BT5" s="808"/>
      <c r="BU5" s="808"/>
      <c r="BV5" s="808"/>
      <c r="BW5" s="808"/>
      <c r="BX5" s="808"/>
      <c r="BY5" s="808"/>
      <c r="BZ5" s="808"/>
      <c r="CA5" s="808"/>
      <c r="CB5" s="808"/>
      <c r="CC5" s="808"/>
      <c r="CD5" s="808"/>
      <c r="CE5" s="808"/>
      <c r="CF5" s="808"/>
      <c r="CG5" s="808"/>
      <c r="CH5" s="808"/>
      <c r="CI5" s="808"/>
      <c r="CJ5" s="96"/>
      <c r="CK5" s="96"/>
      <c r="CL5" s="96"/>
      <c r="CM5" s="96"/>
      <c r="CN5" s="96"/>
      <c r="CO5" s="96"/>
      <c r="CP5" s="96"/>
      <c r="CQ5" s="96"/>
      <c r="CR5" s="96"/>
      <c r="CS5" s="96"/>
      <c r="CT5" s="96"/>
      <c r="CU5" s="96"/>
      <c r="CV5" s="96"/>
      <c r="CW5" s="96"/>
    </row>
    <row r="6" spans="1:101" s="83" customFormat="1" ht="48" customHeight="1" thickBot="1" x14ac:dyDescent="0.25">
      <c r="A6" s="80" t="s">
        <v>7</v>
      </c>
      <c r="B6" s="114" t="s">
        <v>8</v>
      </c>
      <c r="C6" s="81" t="s">
        <v>58</v>
      </c>
      <c r="D6" s="98" t="s">
        <v>57</v>
      </c>
      <c r="E6" s="115" t="s">
        <v>5</v>
      </c>
      <c r="F6" s="100" t="s">
        <v>8</v>
      </c>
      <c r="G6" s="80" t="s">
        <v>9</v>
      </c>
      <c r="H6" s="98" t="s">
        <v>57</v>
      </c>
      <c r="I6" s="99" t="s">
        <v>5</v>
      </c>
      <c r="J6" s="100" t="s">
        <v>8</v>
      </c>
      <c r="K6" s="80" t="s">
        <v>9</v>
      </c>
      <c r="L6" s="98" t="s">
        <v>57</v>
      </c>
      <c r="M6" s="99" t="s">
        <v>5</v>
      </c>
      <c r="N6" s="100" t="s">
        <v>8</v>
      </c>
      <c r="O6" s="80" t="s">
        <v>9</v>
      </c>
      <c r="P6" s="98" t="s">
        <v>57</v>
      </c>
      <c r="Q6" s="368" t="s">
        <v>5</v>
      </c>
      <c r="R6" s="100" t="s">
        <v>8</v>
      </c>
      <c r="S6" s="80" t="s">
        <v>9</v>
      </c>
      <c r="T6" s="98" t="s">
        <v>57</v>
      </c>
      <c r="U6" s="368" t="s">
        <v>5</v>
      </c>
      <c r="V6" s="101"/>
      <c r="W6" s="101"/>
      <c r="X6" s="101"/>
      <c r="Y6" s="102"/>
      <c r="Z6" s="101"/>
      <c r="AA6" s="101"/>
      <c r="AB6" s="101"/>
      <c r="AC6" s="101"/>
      <c r="AD6" s="102"/>
      <c r="AE6" s="101"/>
      <c r="AF6" s="101"/>
      <c r="AG6" s="101"/>
      <c r="AH6" s="101"/>
      <c r="AI6" s="102"/>
      <c r="AJ6" s="101"/>
      <c r="AK6" s="101"/>
      <c r="AL6" s="101"/>
      <c r="AM6" s="101"/>
      <c r="AN6" s="102"/>
      <c r="AO6" s="101"/>
      <c r="AP6" s="101"/>
      <c r="AQ6" s="101"/>
      <c r="AR6" s="101"/>
      <c r="AS6" s="102"/>
      <c r="AT6" s="101"/>
      <c r="AU6" s="101"/>
      <c r="AV6" s="103"/>
      <c r="AW6" s="103"/>
      <c r="AX6" s="104"/>
      <c r="AY6" s="103"/>
      <c r="AZ6" s="103"/>
      <c r="BA6" s="103"/>
      <c r="BB6" s="103"/>
      <c r="BC6" s="104"/>
      <c r="BD6" s="103"/>
      <c r="BE6" s="103"/>
      <c r="BF6" s="103"/>
      <c r="BG6" s="103"/>
      <c r="BH6" s="104"/>
      <c r="BI6" s="103"/>
      <c r="BJ6" s="103"/>
      <c r="BK6" s="103"/>
      <c r="BL6" s="103"/>
      <c r="BM6" s="104"/>
      <c r="BN6" s="103"/>
      <c r="BO6" s="103"/>
      <c r="BP6" s="103"/>
      <c r="BQ6" s="103"/>
      <c r="BR6" s="104"/>
      <c r="BS6" s="103"/>
      <c r="BT6" s="103"/>
      <c r="BU6" s="103"/>
      <c r="BV6" s="103"/>
      <c r="BW6" s="104"/>
      <c r="BX6" s="103"/>
      <c r="BY6" s="103"/>
      <c r="BZ6" s="103"/>
      <c r="CA6" s="103"/>
      <c r="CB6" s="104"/>
      <c r="CC6" s="103"/>
      <c r="CD6" s="103"/>
      <c r="CE6" s="103"/>
      <c r="CF6" s="103"/>
      <c r="CG6" s="104"/>
      <c r="CH6" s="103"/>
      <c r="CI6" s="103"/>
      <c r="CJ6" s="82"/>
      <c r="CK6" s="82"/>
      <c r="CL6" s="82"/>
      <c r="CM6" s="82"/>
      <c r="CN6" s="82"/>
      <c r="CO6" s="82"/>
      <c r="CP6" s="82"/>
      <c r="CQ6" s="82"/>
      <c r="CR6" s="82"/>
      <c r="CS6" s="82"/>
      <c r="CT6" s="82"/>
      <c r="CU6" s="82"/>
      <c r="CV6" s="82"/>
      <c r="CW6" s="82"/>
    </row>
    <row r="7" spans="1:101" ht="20.100000000000001" customHeight="1" x14ac:dyDescent="0.25">
      <c r="A7" s="377">
        <v>44092</v>
      </c>
      <c r="B7" s="416">
        <f t="shared" ref="B7:E8" si="0">SUM(F7,J7,N7,R7)</f>
        <v>58211</v>
      </c>
      <c r="C7" s="417">
        <f t="shared" si="0"/>
        <v>0</v>
      </c>
      <c r="D7" s="417">
        <f t="shared" si="0"/>
        <v>5515</v>
      </c>
      <c r="E7" s="418">
        <f t="shared" si="0"/>
        <v>63726</v>
      </c>
      <c r="F7" s="419">
        <v>18100</v>
      </c>
      <c r="G7" s="420">
        <v>0</v>
      </c>
      <c r="H7" s="421">
        <v>1849</v>
      </c>
      <c r="I7" s="422">
        <f>SUM(F7:H7)</f>
        <v>19949</v>
      </c>
      <c r="J7" s="419">
        <v>11968</v>
      </c>
      <c r="K7" s="420">
        <v>0</v>
      </c>
      <c r="L7" s="420">
        <v>922</v>
      </c>
      <c r="M7" s="422">
        <f>SUM(J7:L7)</f>
        <v>12890</v>
      </c>
      <c r="N7" s="419">
        <v>27308</v>
      </c>
      <c r="O7" s="420">
        <v>0</v>
      </c>
      <c r="P7" s="420">
        <v>2689</v>
      </c>
      <c r="Q7" s="423">
        <f>SUM(N7:P7)</f>
        <v>29997</v>
      </c>
      <c r="R7" s="419">
        <v>835</v>
      </c>
      <c r="S7" s="420">
        <v>0</v>
      </c>
      <c r="T7" s="420">
        <v>55</v>
      </c>
      <c r="U7" s="423">
        <f>SUM(R7:T7)</f>
        <v>890</v>
      </c>
      <c r="V7" s="86"/>
      <c r="W7" s="116"/>
      <c r="X7" s="116"/>
      <c r="Y7" s="116"/>
      <c r="Z7" s="116"/>
      <c r="AA7" s="86"/>
      <c r="AB7" s="116"/>
      <c r="AC7" s="116"/>
      <c r="AD7" s="116"/>
      <c r="AE7" s="116"/>
      <c r="AF7" s="86"/>
      <c r="AG7" s="116"/>
      <c r="AH7" s="116"/>
      <c r="AI7" s="116"/>
      <c r="AJ7" s="116"/>
      <c r="AK7" s="86"/>
      <c r="AL7" s="116"/>
      <c r="AM7" s="116"/>
      <c r="AN7" s="116"/>
      <c r="AO7" s="116"/>
      <c r="AP7" s="86"/>
      <c r="AQ7" s="116"/>
      <c r="AR7" s="116"/>
      <c r="AS7" s="116"/>
      <c r="AT7" s="116"/>
      <c r="AU7" s="86"/>
      <c r="AV7" s="19"/>
      <c r="AW7" s="19">
        <f>SUM(AG7:AG25,AH7:AH25)</f>
        <v>0</v>
      </c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</row>
    <row r="8" spans="1:101" ht="20.100000000000001" customHeight="1" x14ac:dyDescent="0.25">
      <c r="A8" s="378">
        <v>44093</v>
      </c>
      <c r="B8" s="424">
        <f t="shared" si="0"/>
        <v>87450</v>
      </c>
      <c r="C8" s="425">
        <f t="shared" si="0"/>
        <v>2173</v>
      </c>
      <c r="D8" s="425">
        <f t="shared" si="0"/>
        <v>78</v>
      </c>
      <c r="E8" s="426">
        <f t="shared" si="0"/>
        <v>89701</v>
      </c>
      <c r="F8" s="427">
        <f>760+6071+10705+2118+5793</f>
        <v>25447</v>
      </c>
      <c r="G8" s="428">
        <f>170+590</f>
        <v>760</v>
      </c>
      <c r="H8" s="428">
        <v>31</v>
      </c>
      <c r="I8" s="429">
        <f>SUM(F8:H8)</f>
        <v>26238</v>
      </c>
      <c r="J8" s="427">
        <f>332+9114+3875+1180+1662</f>
        <v>16163</v>
      </c>
      <c r="K8" s="428">
        <f>164+168</f>
        <v>332</v>
      </c>
      <c r="L8" s="428">
        <v>16</v>
      </c>
      <c r="M8" s="429">
        <f>SUM(J8:L8)</f>
        <v>16511</v>
      </c>
      <c r="N8" s="427">
        <f>1071+13283+17566+5896+3+6660</f>
        <v>44479</v>
      </c>
      <c r="O8" s="428">
        <f>620+451</f>
        <v>1071</v>
      </c>
      <c r="P8" s="428">
        <v>18</v>
      </c>
      <c r="Q8" s="430">
        <f>SUM(N8:P8)</f>
        <v>45568</v>
      </c>
      <c r="R8" s="427">
        <f>12+356+181+792+20</f>
        <v>1361</v>
      </c>
      <c r="S8" s="428">
        <v>10</v>
      </c>
      <c r="T8" s="428">
        <v>13</v>
      </c>
      <c r="U8" s="430">
        <f>SUM(R8:T8)</f>
        <v>1384</v>
      </c>
      <c r="V8" s="86"/>
      <c r="W8" s="116"/>
      <c r="X8" s="116"/>
      <c r="Y8" s="116"/>
      <c r="Z8" s="116"/>
      <c r="AA8" s="86"/>
      <c r="AB8" s="116"/>
      <c r="AC8" s="116"/>
      <c r="AD8" s="116"/>
      <c r="AE8" s="116"/>
      <c r="AF8" s="86"/>
      <c r="AG8" s="116"/>
      <c r="AH8" s="116"/>
      <c r="AI8" s="116"/>
      <c r="AJ8" s="116"/>
      <c r="AK8" s="86"/>
      <c r="AL8" s="116"/>
      <c r="AM8" s="116"/>
      <c r="AN8" s="116"/>
      <c r="AO8" s="116"/>
      <c r="AP8" s="86"/>
      <c r="AQ8" s="116"/>
      <c r="AR8" s="116"/>
      <c r="AS8" s="116"/>
      <c r="AT8" s="116"/>
      <c r="AU8" s="86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</row>
    <row r="9" spans="1:101" ht="20.100000000000001" customHeight="1" x14ac:dyDescent="0.25">
      <c r="A9" s="378">
        <v>44094</v>
      </c>
      <c r="B9" s="510"/>
      <c r="C9" s="511"/>
      <c r="D9" s="511"/>
      <c r="E9" s="451"/>
      <c r="F9" s="434"/>
      <c r="G9" s="435"/>
      <c r="H9" s="435"/>
      <c r="I9" s="433"/>
      <c r="J9" s="434"/>
      <c r="K9" s="435"/>
      <c r="L9" s="435"/>
      <c r="M9" s="433"/>
      <c r="N9" s="434"/>
      <c r="O9" s="435"/>
      <c r="P9" s="435"/>
      <c r="Q9" s="436"/>
      <c r="R9" s="434"/>
      <c r="S9" s="435"/>
      <c r="T9" s="435"/>
      <c r="U9" s="436"/>
      <c r="V9" s="86"/>
      <c r="W9" s="116"/>
      <c r="X9" s="116"/>
      <c r="Y9" s="116"/>
      <c r="Z9" s="116"/>
      <c r="AA9" s="86"/>
      <c r="AB9" s="116"/>
      <c r="AC9" s="116"/>
      <c r="AD9" s="116"/>
      <c r="AE9" s="116"/>
      <c r="AF9" s="86"/>
      <c r="AG9" s="116"/>
      <c r="AH9" s="116"/>
      <c r="AI9" s="116"/>
      <c r="AJ9" s="116"/>
      <c r="AK9" s="86"/>
      <c r="AL9" s="116"/>
      <c r="AM9" s="116"/>
      <c r="AN9" s="116"/>
      <c r="AO9" s="116"/>
      <c r="AP9" s="86"/>
      <c r="AQ9" s="116"/>
      <c r="AR9" s="116"/>
      <c r="AS9" s="116"/>
      <c r="AT9" s="116"/>
      <c r="AU9" s="86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</row>
    <row r="10" spans="1:101" ht="20.100000000000001" customHeight="1" x14ac:dyDescent="0.25">
      <c r="A10" s="378">
        <v>44095</v>
      </c>
      <c r="B10" s="424">
        <f t="shared" ref="B10:E17" si="1">SUM(F10,J10,N10,R10)</f>
        <v>4102</v>
      </c>
      <c r="C10" s="425">
        <f t="shared" si="1"/>
        <v>0</v>
      </c>
      <c r="D10" s="425">
        <f t="shared" si="1"/>
        <v>35</v>
      </c>
      <c r="E10" s="426">
        <f t="shared" si="1"/>
        <v>4137</v>
      </c>
      <c r="F10" s="440">
        <v>1316</v>
      </c>
      <c r="G10" s="441">
        <v>0</v>
      </c>
      <c r="H10" s="441">
        <v>9</v>
      </c>
      <c r="I10" s="442">
        <f>SUM(F10:H10)</f>
        <v>1325</v>
      </c>
      <c r="J10" s="440">
        <v>1080</v>
      </c>
      <c r="K10" s="441">
        <v>0</v>
      </c>
      <c r="L10" s="441">
        <v>3</v>
      </c>
      <c r="M10" s="442">
        <f>SUM(J10:L10)</f>
        <v>1083</v>
      </c>
      <c r="N10" s="440">
        <v>1614</v>
      </c>
      <c r="O10" s="441">
        <v>0</v>
      </c>
      <c r="P10" s="441">
        <v>23</v>
      </c>
      <c r="Q10" s="443">
        <f>SUM(N10:P10)</f>
        <v>1637</v>
      </c>
      <c r="R10" s="440">
        <v>92</v>
      </c>
      <c r="S10" s="441">
        <v>0</v>
      </c>
      <c r="T10" s="441">
        <v>0</v>
      </c>
      <c r="U10" s="443">
        <f>SUM(R10:T10)</f>
        <v>92</v>
      </c>
      <c r="V10" s="117"/>
      <c r="W10" s="512"/>
      <c r="X10" s="116"/>
      <c r="Y10" s="116"/>
      <c r="Z10" s="116"/>
      <c r="AA10" s="86"/>
      <c r="AB10" s="116"/>
      <c r="AC10" s="116"/>
      <c r="AD10" s="116"/>
      <c r="AE10" s="116"/>
      <c r="AF10" s="86"/>
      <c r="AG10" s="116"/>
      <c r="AH10" s="116"/>
      <c r="AI10" s="116"/>
      <c r="AJ10" s="116"/>
      <c r="AK10" s="86"/>
      <c r="AL10" s="116"/>
      <c r="AM10" s="116"/>
      <c r="AN10" s="116"/>
      <c r="AO10" s="116"/>
      <c r="AP10" s="86"/>
      <c r="AQ10" s="116"/>
      <c r="AR10" s="116"/>
      <c r="AS10" s="116"/>
      <c r="AT10" s="116"/>
      <c r="AU10" s="86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</row>
    <row r="11" spans="1:101" ht="20.100000000000001" customHeight="1" x14ac:dyDescent="0.25">
      <c r="A11" s="378">
        <v>44096</v>
      </c>
      <c r="B11" s="424">
        <f t="shared" si="1"/>
        <v>5222</v>
      </c>
      <c r="C11" s="425">
        <f t="shared" si="1"/>
        <v>2</v>
      </c>
      <c r="D11" s="425">
        <f t="shared" si="1"/>
        <v>138</v>
      </c>
      <c r="E11" s="426">
        <f t="shared" si="1"/>
        <v>5362</v>
      </c>
      <c r="F11" s="440">
        <f>901+676</f>
        <v>1577</v>
      </c>
      <c r="G11" s="441">
        <v>1</v>
      </c>
      <c r="H11" s="441">
        <v>57</v>
      </c>
      <c r="I11" s="442">
        <f>SUM(F11:H11)</f>
        <v>1635</v>
      </c>
      <c r="J11" s="440">
        <f>966+0</f>
        <v>966</v>
      </c>
      <c r="K11" s="441">
        <v>0</v>
      </c>
      <c r="L11" s="441">
        <v>13</v>
      </c>
      <c r="M11" s="442">
        <f>SUM(J11:L11)</f>
        <v>979</v>
      </c>
      <c r="N11" s="440">
        <f>929+1735</f>
        <v>2664</v>
      </c>
      <c r="O11" s="441">
        <v>1</v>
      </c>
      <c r="P11" s="441">
        <v>65</v>
      </c>
      <c r="Q11" s="443">
        <f>SUM(N11:P11)</f>
        <v>2730</v>
      </c>
      <c r="R11" s="440">
        <v>15</v>
      </c>
      <c r="S11" s="441">
        <v>0</v>
      </c>
      <c r="T11" s="441">
        <v>3</v>
      </c>
      <c r="U11" s="443">
        <f>SUM(R11:T11)</f>
        <v>18</v>
      </c>
      <c r="V11" s="86"/>
      <c r="W11" s="116"/>
      <c r="X11" s="116"/>
      <c r="Y11" s="116"/>
      <c r="Z11" s="116"/>
      <c r="AA11" s="86"/>
      <c r="AB11" s="116"/>
      <c r="AC11" s="116"/>
      <c r="AD11" s="116"/>
      <c r="AE11" s="116"/>
      <c r="AF11" s="86"/>
      <c r="AG11" s="116"/>
      <c r="AH11" s="116"/>
      <c r="AI11" s="116"/>
      <c r="AJ11" s="116"/>
      <c r="AK11" s="86"/>
      <c r="AL11" s="116"/>
      <c r="AM11" s="116"/>
      <c r="AN11" s="116"/>
      <c r="AO11" s="116"/>
      <c r="AP11" s="86"/>
      <c r="AQ11" s="116"/>
      <c r="AR11" s="116"/>
      <c r="AS11" s="116"/>
      <c r="AT11" s="116"/>
      <c r="AU11" s="86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</row>
    <row r="12" spans="1:101" ht="20.100000000000001" customHeight="1" x14ac:dyDescent="0.25">
      <c r="A12" s="378">
        <v>44097</v>
      </c>
      <c r="B12" s="424">
        <f t="shared" si="1"/>
        <v>5128</v>
      </c>
      <c r="C12" s="425">
        <f t="shared" si="1"/>
        <v>112</v>
      </c>
      <c r="D12" s="438">
        <f t="shared" si="1"/>
        <v>53</v>
      </c>
      <c r="E12" s="426">
        <f t="shared" si="1"/>
        <v>5293</v>
      </c>
      <c r="F12" s="440">
        <f>281+1183</f>
        <v>1464</v>
      </c>
      <c r="G12" s="441">
        <v>34</v>
      </c>
      <c r="H12" s="441">
        <v>5</v>
      </c>
      <c r="I12" s="442">
        <f>SUM(F12:H12)</f>
        <v>1503</v>
      </c>
      <c r="J12" s="440">
        <v>873</v>
      </c>
      <c r="K12" s="441">
        <v>23</v>
      </c>
      <c r="L12" s="441">
        <v>14</v>
      </c>
      <c r="M12" s="442">
        <f>SUM(J12:L12)</f>
        <v>910</v>
      </c>
      <c r="N12" s="440">
        <f>735+1941</f>
        <v>2676</v>
      </c>
      <c r="O12" s="441">
        <v>55</v>
      </c>
      <c r="P12" s="441">
        <v>34</v>
      </c>
      <c r="Q12" s="443">
        <f>SUM(N12:P12)</f>
        <v>2765</v>
      </c>
      <c r="R12" s="440">
        <f>61+54</f>
        <v>115</v>
      </c>
      <c r="S12" s="441">
        <v>0</v>
      </c>
      <c r="T12" s="441">
        <v>0</v>
      </c>
      <c r="U12" s="443">
        <f>SUM(R12:T12)</f>
        <v>115</v>
      </c>
      <c r="V12" s="86"/>
      <c r="W12" s="116"/>
      <c r="X12" s="116"/>
      <c r="Y12" s="116"/>
      <c r="Z12" s="116"/>
      <c r="AA12" s="86"/>
      <c r="AB12" s="116"/>
      <c r="AC12" s="116"/>
      <c r="AD12" s="116"/>
      <c r="AE12" s="116"/>
      <c r="AF12" s="86"/>
      <c r="AG12" s="116"/>
      <c r="AH12" s="116"/>
      <c r="AI12" s="116"/>
      <c r="AJ12" s="116"/>
      <c r="AK12" s="86"/>
      <c r="AL12" s="116"/>
      <c r="AM12" s="116"/>
      <c r="AN12" s="116"/>
      <c r="AO12" s="116"/>
      <c r="AP12" s="86"/>
      <c r="AQ12" s="116"/>
      <c r="AR12" s="116"/>
      <c r="AS12" s="116"/>
      <c r="AT12" s="116"/>
      <c r="AU12" s="86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</row>
    <row r="13" spans="1:101" ht="20.100000000000001" customHeight="1" x14ac:dyDescent="0.25">
      <c r="A13" s="378">
        <v>44098</v>
      </c>
      <c r="B13" s="424">
        <f t="shared" si="1"/>
        <v>2676</v>
      </c>
      <c r="C13" s="425">
        <f t="shared" si="1"/>
        <v>13</v>
      </c>
      <c r="D13" s="438">
        <f t="shared" si="1"/>
        <v>224</v>
      </c>
      <c r="E13" s="426">
        <f t="shared" si="1"/>
        <v>2913</v>
      </c>
      <c r="F13" s="440">
        <v>841</v>
      </c>
      <c r="G13" s="441">
        <v>6</v>
      </c>
      <c r="H13" s="441">
        <v>76</v>
      </c>
      <c r="I13" s="442">
        <f>SUM(F13:H13)</f>
        <v>923</v>
      </c>
      <c r="J13" s="440">
        <v>466</v>
      </c>
      <c r="K13" s="441">
        <v>2</v>
      </c>
      <c r="L13" s="441">
        <v>31</v>
      </c>
      <c r="M13" s="442">
        <f>SUM(J13:L13)</f>
        <v>499</v>
      </c>
      <c r="N13" s="440">
        <v>1285</v>
      </c>
      <c r="O13" s="441">
        <v>5</v>
      </c>
      <c r="P13" s="441">
        <v>114</v>
      </c>
      <c r="Q13" s="443">
        <f>SUM(N13:P13)</f>
        <v>1404</v>
      </c>
      <c r="R13" s="440">
        <v>84</v>
      </c>
      <c r="S13" s="441">
        <v>0</v>
      </c>
      <c r="T13" s="441">
        <v>3</v>
      </c>
      <c r="U13" s="443">
        <f>SUM(R13:T13)</f>
        <v>87</v>
      </c>
      <c r="V13" s="86"/>
      <c r="W13" s="116"/>
      <c r="X13" s="116"/>
      <c r="Y13" s="116"/>
      <c r="Z13" s="116"/>
      <c r="AA13" s="86"/>
      <c r="AB13" s="116"/>
      <c r="AC13" s="116"/>
      <c r="AD13" s="116"/>
      <c r="AE13" s="116"/>
      <c r="AF13" s="86"/>
      <c r="AG13" s="116"/>
      <c r="AH13" s="116"/>
      <c r="AI13" s="116"/>
      <c r="AJ13" s="116"/>
      <c r="AK13" s="86"/>
      <c r="AL13" s="116"/>
      <c r="AM13" s="116"/>
      <c r="AN13" s="116"/>
      <c r="AO13" s="116"/>
      <c r="AP13" s="86"/>
      <c r="AQ13" s="116"/>
      <c r="AR13" s="116"/>
      <c r="AS13" s="116"/>
      <c r="AT13" s="116"/>
      <c r="AU13" s="86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</row>
    <row r="14" spans="1:101" ht="20.100000000000001" customHeight="1" x14ac:dyDescent="0.25">
      <c r="A14" s="378">
        <v>44099</v>
      </c>
      <c r="B14" s="424">
        <f t="shared" si="1"/>
        <v>5958</v>
      </c>
      <c r="C14" s="425">
        <f t="shared" si="1"/>
        <v>22</v>
      </c>
      <c r="D14" s="438">
        <f t="shared" si="1"/>
        <v>172</v>
      </c>
      <c r="E14" s="426">
        <f t="shared" si="1"/>
        <v>6152</v>
      </c>
      <c r="F14" s="83">
        <f>1799+4</f>
        <v>1803</v>
      </c>
      <c r="G14" s="83">
        <v>9</v>
      </c>
      <c r="H14" s="83">
        <v>58</v>
      </c>
      <c r="I14" s="442">
        <f>SUM(F14:H14)</f>
        <v>1870</v>
      </c>
      <c r="J14" s="83">
        <f>1307+1</f>
        <v>1308</v>
      </c>
      <c r="K14" s="83">
        <v>4</v>
      </c>
      <c r="L14" s="83">
        <v>27</v>
      </c>
      <c r="M14" s="442">
        <f>SUM(J14:L14)</f>
        <v>1339</v>
      </c>
      <c r="N14" s="440">
        <f>2789+2</f>
        <v>2791</v>
      </c>
      <c r="O14" s="441">
        <v>9</v>
      </c>
      <c r="P14" s="441">
        <v>83</v>
      </c>
      <c r="Q14" s="443">
        <f>SUM(N14:P14)</f>
        <v>2883</v>
      </c>
      <c r="R14" s="83">
        <f>56+0</f>
        <v>56</v>
      </c>
      <c r="S14" s="83">
        <v>0</v>
      </c>
      <c r="T14" s="83">
        <v>4</v>
      </c>
      <c r="U14" s="443">
        <f>SUM(R14:T14)</f>
        <v>60</v>
      </c>
      <c r="V14" s="86"/>
      <c r="W14" s="116"/>
      <c r="X14" s="116"/>
      <c r="Y14" s="116"/>
      <c r="Z14" s="116"/>
      <c r="AA14" s="86"/>
      <c r="AB14" s="116"/>
      <c r="AC14" s="116"/>
      <c r="AD14" s="116"/>
      <c r="AE14" s="116"/>
      <c r="AF14" s="86"/>
      <c r="AG14" s="116"/>
      <c r="AH14" s="116"/>
      <c r="AI14" s="116"/>
      <c r="AJ14" s="116"/>
      <c r="AK14" s="86"/>
      <c r="AL14" s="116"/>
      <c r="AM14" s="116"/>
      <c r="AN14" s="116"/>
      <c r="AO14" s="116"/>
      <c r="AP14" s="86"/>
      <c r="AQ14" s="116"/>
      <c r="AR14" s="116"/>
      <c r="AS14" s="116"/>
      <c r="AT14" s="116"/>
      <c r="AU14" s="86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</row>
    <row r="15" spans="1:101" ht="20.100000000000001" customHeight="1" x14ac:dyDescent="0.25">
      <c r="A15" s="378">
        <v>44100</v>
      </c>
      <c r="B15" s="510"/>
      <c r="C15" s="511"/>
      <c r="D15" s="444"/>
      <c r="E15" s="445"/>
      <c r="F15" s="447"/>
      <c r="G15" s="448"/>
      <c r="H15" s="448"/>
      <c r="I15" s="446"/>
      <c r="J15" s="447"/>
      <c r="K15" s="448"/>
      <c r="L15" s="448"/>
      <c r="M15" s="446"/>
      <c r="N15" s="447"/>
      <c r="O15" s="448"/>
      <c r="P15" s="448"/>
      <c r="Q15" s="449"/>
      <c r="R15" s="447"/>
      <c r="S15" s="448"/>
      <c r="T15" s="448"/>
      <c r="U15" s="449"/>
      <c r="V15" s="86"/>
      <c r="W15" s="116"/>
      <c r="X15" s="116"/>
      <c r="Y15" s="116"/>
      <c r="Z15" s="116"/>
      <c r="AA15" s="86"/>
      <c r="AB15" s="116"/>
      <c r="AC15" s="116"/>
      <c r="AD15" s="116"/>
      <c r="AE15" s="116"/>
      <c r="AF15" s="86"/>
      <c r="AG15" s="116"/>
      <c r="AH15" s="116"/>
      <c r="AI15" s="116"/>
      <c r="AJ15" s="116"/>
      <c r="AK15" s="86"/>
      <c r="AL15" s="116"/>
      <c r="AM15" s="116"/>
      <c r="AN15" s="116"/>
      <c r="AO15" s="116"/>
      <c r="AP15" s="86"/>
      <c r="AQ15" s="116"/>
      <c r="AR15" s="116"/>
      <c r="AS15" s="116"/>
      <c r="AT15" s="116"/>
      <c r="AU15" s="86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</row>
    <row r="16" spans="1:101" ht="20.100000000000001" customHeight="1" x14ac:dyDescent="0.25">
      <c r="A16" s="378">
        <v>44101</v>
      </c>
      <c r="B16" s="520"/>
      <c r="C16" s="521"/>
      <c r="D16" s="432"/>
      <c r="E16" s="450"/>
      <c r="F16" s="452"/>
      <c r="G16" s="453"/>
      <c r="H16" s="453"/>
      <c r="I16" s="451"/>
      <c r="J16" s="452"/>
      <c r="K16" s="453"/>
      <c r="L16" s="453"/>
      <c r="M16" s="451"/>
      <c r="N16" s="452"/>
      <c r="O16" s="453"/>
      <c r="P16" s="453"/>
      <c r="Q16" s="454"/>
      <c r="R16" s="452"/>
      <c r="S16" s="453"/>
      <c r="T16" s="453"/>
      <c r="U16" s="454"/>
      <c r="V16" s="86"/>
      <c r="W16" s="116"/>
      <c r="X16" s="116"/>
      <c r="Y16" s="116"/>
      <c r="Z16" s="116"/>
      <c r="AA16" s="86"/>
      <c r="AB16" s="116"/>
      <c r="AC16" s="116"/>
      <c r="AD16" s="116"/>
      <c r="AE16" s="116"/>
      <c r="AF16" s="86"/>
      <c r="AG16" s="116"/>
      <c r="AH16" s="116"/>
      <c r="AI16" s="116"/>
      <c r="AJ16" s="116"/>
      <c r="AK16" s="86"/>
      <c r="AL16" s="116"/>
      <c r="AM16" s="116"/>
      <c r="AN16" s="116"/>
      <c r="AO16" s="116"/>
      <c r="AP16" s="86"/>
      <c r="AQ16" s="116"/>
      <c r="AR16" s="116"/>
      <c r="AS16" s="116"/>
      <c r="AT16" s="116"/>
      <c r="AU16" s="86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</row>
    <row r="17" spans="1:101" ht="20.100000000000001" customHeight="1" x14ac:dyDescent="0.25">
      <c r="A17" s="378">
        <v>44102</v>
      </c>
      <c r="B17" s="424">
        <f t="shared" ref="B17" si="2">SUM(F17,J17,N17,R17)</f>
        <v>8072</v>
      </c>
      <c r="C17" s="425">
        <f t="shared" ref="C17" si="3">SUM(G17,K17,O17,S17)</f>
        <v>10</v>
      </c>
      <c r="D17" s="438">
        <f t="shared" ref="D17" si="4">SUM(H17,L17,P17,T17)</f>
        <v>134</v>
      </c>
      <c r="E17" s="426">
        <f t="shared" si="1"/>
        <v>8216</v>
      </c>
      <c r="F17" s="440">
        <f>1169+1281</f>
        <v>2450</v>
      </c>
      <c r="G17" s="441">
        <v>1</v>
      </c>
      <c r="H17" s="441">
        <v>47</v>
      </c>
      <c r="I17" s="442">
        <f t="shared" ref="I17:I22" si="5">SUM(F17:H17)</f>
        <v>2498</v>
      </c>
      <c r="J17" s="440">
        <f>918+230</f>
        <v>1148</v>
      </c>
      <c r="K17" s="441">
        <v>0</v>
      </c>
      <c r="L17" s="441">
        <v>17</v>
      </c>
      <c r="M17" s="442">
        <f t="shared" ref="M17:M22" si="6">SUM(J17:L17)</f>
        <v>1165</v>
      </c>
      <c r="N17" s="440">
        <f>2437+1840</f>
        <v>4277</v>
      </c>
      <c r="O17" s="441">
        <v>9</v>
      </c>
      <c r="P17" s="441">
        <v>69</v>
      </c>
      <c r="Q17" s="443">
        <f t="shared" ref="Q17:Q22" si="7">SUM(N17:P17)</f>
        <v>4355</v>
      </c>
      <c r="R17" s="440">
        <f>108+89</f>
        <v>197</v>
      </c>
      <c r="S17" s="441">
        <v>0</v>
      </c>
      <c r="T17" s="441">
        <v>1</v>
      </c>
      <c r="U17" s="443">
        <f t="shared" ref="U17:U22" si="8">SUM(R17:T17)</f>
        <v>198</v>
      </c>
      <c r="V17" s="86"/>
      <c r="W17" s="116"/>
      <c r="X17" s="116"/>
      <c r="Y17" s="116"/>
      <c r="Z17" s="116"/>
      <c r="AA17" s="86"/>
      <c r="AB17" s="116"/>
      <c r="AC17" s="116"/>
      <c r="AD17" s="116"/>
      <c r="AE17" s="116"/>
      <c r="AF17" s="86"/>
      <c r="AG17" s="116"/>
      <c r="AH17" s="116"/>
      <c r="AI17" s="116"/>
      <c r="AJ17" s="116"/>
      <c r="AK17" s="86"/>
      <c r="AL17" s="116"/>
      <c r="AM17" s="116"/>
      <c r="AN17" s="116"/>
      <c r="AO17" s="116"/>
      <c r="AP17" s="86"/>
      <c r="AQ17" s="116"/>
      <c r="AR17" s="116"/>
      <c r="AS17" s="116"/>
      <c r="AT17" s="116"/>
      <c r="AU17" s="86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</row>
    <row r="18" spans="1:101" ht="20.100000000000001" customHeight="1" x14ac:dyDescent="0.25">
      <c r="A18" s="378">
        <v>44103</v>
      </c>
      <c r="B18" s="424">
        <f t="shared" ref="B18:D19" si="9">SUM(F18,J18,N18,R18)</f>
        <v>8481</v>
      </c>
      <c r="C18" s="425">
        <f t="shared" si="9"/>
        <v>58</v>
      </c>
      <c r="D18" s="438">
        <f t="shared" si="9"/>
        <v>165</v>
      </c>
      <c r="E18" s="439">
        <f>SUM(B18:D18)</f>
        <v>8704</v>
      </c>
      <c r="F18" s="440">
        <f>1886+7+819+1</f>
        <v>2713</v>
      </c>
      <c r="G18" s="441">
        <v>15</v>
      </c>
      <c r="H18" s="441">
        <v>61</v>
      </c>
      <c r="I18" s="442">
        <f t="shared" si="5"/>
        <v>2789</v>
      </c>
      <c r="J18" s="440">
        <f>1278+453</f>
        <v>1731</v>
      </c>
      <c r="K18" s="441">
        <v>10</v>
      </c>
      <c r="L18" s="441">
        <v>25</v>
      </c>
      <c r="M18" s="442">
        <f t="shared" si="6"/>
        <v>1766</v>
      </c>
      <c r="N18" s="440">
        <f>2780+1193</f>
        <v>3973</v>
      </c>
      <c r="O18" s="441">
        <v>33</v>
      </c>
      <c r="P18" s="441">
        <v>75</v>
      </c>
      <c r="Q18" s="443">
        <f t="shared" si="7"/>
        <v>4081</v>
      </c>
      <c r="R18" s="440">
        <f>28+36</f>
        <v>64</v>
      </c>
      <c r="S18" s="441">
        <v>0</v>
      </c>
      <c r="T18" s="441">
        <v>4</v>
      </c>
      <c r="U18" s="443">
        <f t="shared" si="8"/>
        <v>68</v>
      </c>
      <c r="V18" s="86"/>
      <c r="W18" s="116"/>
      <c r="X18" s="116"/>
      <c r="Y18" s="116"/>
      <c r="Z18" s="116"/>
      <c r="AA18" s="86"/>
      <c r="AB18" s="116"/>
      <c r="AC18" s="116"/>
      <c r="AD18" s="116"/>
      <c r="AE18" s="116"/>
      <c r="AF18" s="86"/>
      <c r="AG18" s="116"/>
      <c r="AH18" s="116"/>
      <c r="AI18" s="116"/>
      <c r="AJ18" s="116"/>
      <c r="AK18" s="86"/>
      <c r="AL18" s="116"/>
      <c r="AM18" s="116"/>
      <c r="AN18" s="116"/>
      <c r="AO18" s="116"/>
      <c r="AP18" s="86"/>
      <c r="AQ18" s="116"/>
      <c r="AR18" s="116"/>
      <c r="AS18" s="116"/>
      <c r="AT18" s="116"/>
      <c r="AU18" s="86"/>
      <c r="AV18" s="116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</row>
    <row r="19" spans="1:101" ht="20.100000000000001" customHeight="1" x14ac:dyDescent="0.25">
      <c r="A19" s="378">
        <v>44104</v>
      </c>
      <c r="B19" s="424">
        <f t="shared" si="9"/>
        <v>4659</v>
      </c>
      <c r="C19" s="425">
        <f t="shared" si="9"/>
        <v>66</v>
      </c>
      <c r="D19" s="438">
        <f t="shared" si="9"/>
        <v>146</v>
      </c>
      <c r="E19" s="439">
        <f>SUM(B19:D19)</f>
        <v>4871</v>
      </c>
      <c r="F19" s="440">
        <f>667+1+943</f>
        <v>1611</v>
      </c>
      <c r="G19" s="441">
        <v>21</v>
      </c>
      <c r="H19" s="441">
        <v>41</v>
      </c>
      <c r="I19" s="442">
        <f t="shared" si="5"/>
        <v>1673</v>
      </c>
      <c r="J19" s="440">
        <f>368+410</f>
        <v>778</v>
      </c>
      <c r="K19" s="441">
        <v>13</v>
      </c>
      <c r="L19" s="441">
        <v>22</v>
      </c>
      <c r="M19" s="442">
        <f t="shared" si="6"/>
        <v>813</v>
      </c>
      <c r="N19" s="440">
        <f>907+1+1278+1</f>
        <v>2187</v>
      </c>
      <c r="O19" s="441">
        <v>32</v>
      </c>
      <c r="P19" s="441">
        <v>79</v>
      </c>
      <c r="Q19" s="443">
        <f t="shared" si="7"/>
        <v>2298</v>
      </c>
      <c r="R19" s="440">
        <f>39+44</f>
        <v>83</v>
      </c>
      <c r="S19" s="441">
        <v>0</v>
      </c>
      <c r="T19" s="441">
        <v>4</v>
      </c>
      <c r="U19" s="443">
        <f t="shared" si="8"/>
        <v>87</v>
      </c>
      <c r="V19" s="86"/>
      <c r="W19" s="116"/>
      <c r="X19" s="116"/>
      <c r="Y19" s="116"/>
      <c r="Z19" s="116"/>
      <c r="AA19" s="86"/>
      <c r="AB19" s="116"/>
      <c r="AC19" s="116"/>
      <c r="AD19" s="116"/>
      <c r="AE19" s="116"/>
      <c r="AF19" s="86"/>
      <c r="AG19" s="116"/>
      <c r="AH19" s="116"/>
      <c r="AI19" s="116"/>
      <c r="AJ19" s="116"/>
      <c r="AK19" s="86"/>
      <c r="AL19" s="116"/>
      <c r="AM19" s="116"/>
      <c r="AN19" s="116"/>
      <c r="AO19" s="116"/>
      <c r="AP19" s="86"/>
      <c r="AQ19" s="116"/>
      <c r="AR19" s="116"/>
      <c r="AS19" s="116"/>
      <c r="AT19" s="116"/>
      <c r="AU19" s="86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</row>
    <row r="20" spans="1:101" ht="20.100000000000001" customHeight="1" x14ac:dyDescent="0.25">
      <c r="A20" s="378">
        <v>44105</v>
      </c>
      <c r="B20" s="424">
        <f t="shared" ref="B20" si="10">SUM(F20,J20,N20,R20)</f>
        <v>3805</v>
      </c>
      <c r="C20" s="425">
        <f t="shared" ref="C20" si="11">SUM(G20,K20,O20,S20)</f>
        <v>25</v>
      </c>
      <c r="D20" s="438">
        <f t="shared" ref="D20" si="12">SUM(H20,L20,P20,T20)</f>
        <v>170</v>
      </c>
      <c r="E20" s="439">
        <f>SUM(B20:D20)</f>
        <v>4000</v>
      </c>
      <c r="F20" s="440">
        <v>1157</v>
      </c>
      <c r="G20" s="441">
        <v>8</v>
      </c>
      <c r="H20" s="441">
        <v>63</v>
      </c>
      <c r="I20" s="442">
        <f t="shared" si="5"/>
        <v>1228</v>
      </c>
      <c r="J20" s="440">
        <v>767</v>
      </c>
      <c r="K20" s="441">
        <v>9</v>
      </c>
      <c r="L20" s="441">
        <v>26</v>
      </c>
      <c r="M20" s="442">
        <f t="shared" si="6"/>
        <v>802</v>
      </c>
      <c r="N20" s="440">
        <v>1817</v>
      </c>
      <c r="O20" s="441">
        <v>8</v>
      </c>
      <c r="P20" s="441">
        <v>77</v>
      </c>
      <c r="Q20" s="443">
        <f t="shared" si="7"/>
        <v>1902</v>
      </c>
      <c r="R20" s="440">
        <v>64</v>
      </c>
      <c r="S20" s="441">
        <v>0</v>
      </c>
      <c r="T20" s="441">
        <v>4</v>
      </c>
      <c r="U20" s="443">
        <f t="shared" si="8"/>
        <v>68</v>
      </c>
      <c r="V20" s="86"/>
      <c r="W20" s="116"/>
      <c r="X20" s="116"/>
      <c r="Y20" s="116"/>
      <c r="Z20" s="116"/>
      <c r="AA20" s="86"/>
      <c r="AB20" s="116"/>
      <c r="AC20" s="116"/>
      <c r="AD20" s="116"/>
      <c r="AE20" s="116"/>
      <c r="AF20" s="86"/>
      <c r="AG20" s="116"/>
      <c r="AH20" s="116"/>
      <c r="AI20" s="116"/>
      <c r="AJ20" s="116"/>
      <c r="AK20" s="86"/>
      <c r="AL20" s="116"/>
      <c r="AM20" s="116"/>
      <c r="AN20" s="116"/>
      <c r="AO20" s="116"/>
      <c r="AP20" s="86"/>
      <c r="AQ20" s="116"/>
      <c r="AR20" s="116"/>
      <c r="AS20" s="116"/>
      <c r="AT20" s="116"/>
      <c r="AU20" s="86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</row>
    <row r="21" spans="1:101" ht="20.100000000000001" customHeight="1" x14ac:dyDescent="0.25">
      <c r="A21" s="378">
        <v>44106</v>
      </c>
      <c r="B21" s="424">
        <f t="shared" ref="B21" si="13">SUM(F21,J21,N21,R21)</f>
        <v>4691</v>
      </c>
      <c r="C21" s="425">
        <f t="shared" ref="C21" si="14">SUM(G21,K21,O21,S21)</f>
        <v>33</v>
      </c>
      <c r="D21" s="438">
        <f t="shared" ref="D21" si="15">SUM(H21,L21,P21,T21)</f>
        <v>97</v>
      </c>
      <c r="E21" s="439">
        <f>SUM(B21:D21)</f>
        <v>4821</v>
      </c>
      <c r="F21" s="440">
        <v>1364</v>
      </c>
      <c r="G21" s="441">
        <v>8</v>
      </c>
      <c r="H21" s="441">
        <v>38</v>
      </c>
      <c r="I21" s="442">
        <f t="shared" si="5"/>
        <v>1410</v>
      </c>
      <c r="J21" s="440">
        <v>1077</v>
      </c>
      <c r="K21" s="441">
        <v>9</v>
      </c>
      <c r="L21" s="441">
        <v>17</v>
      </c>
      <c r="M21" s="442">
        <f t="shared" si="6"/>
        <v>1103</v>
      </c>
      <c r="N21" s="440">
        <v>2192</v>
      </c>
      <c r="O21" s="441">
        <v>16</v>
      </c>
      <c r="P21" s="441">
        <v>39</v>
      </c>
      <c r="Q21" s="443">
        <f t="shared" si="7"/>
        <v>2247</v>
      </c>
      <c r="R21" s="440">
        <v>58</v>
      </c>
      <c r="S21" s="441">
        <v>0</v>
      </c>
      <c r="T21" s="441">
        <v>3</v>
      </c>
      <c r="U21" s="443">
        <f t="shared" si="8"/>
        <v>61</v>
      </c>
      <c r="V21" s="86"/>
      <c r="W21" s="116"/>
      <c r="X21" s="116"/>
      <c r="Y21" s="116"/>
      <c r="Z21" s="116"/>
      <c r="AA21" s="86"/>
      <c r="AB21" s="116"/>
      <c r="AC21" s="116"/>
      <c r="AD21" s="116"/>
      <c r="AE21" s="116"/>
      <c r="AF21" s="86"/>
      <c r="AG21" s="116"/>
      <c r="AH21" s="116"/>
      <c r="AI21" s="116"/>
      <c r="AJ21" s="116"/>
      <c r="AK21" s="86"/>
      <c r="AL21" s="116"/>
      <c r="AM21" s="116"/>
      <c r="AN21" s="116"/>
      <c r="AO21" s="116"/>
      <c r="AP21" s="86"/>
      <c r="AQ21" s="116"/>
      <c r="AR21" s="116"/>
      <c r="AS21" s="116"/>
      <c r="AT21" s="116"/>
      <c r="AU21" s="86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</row>
    <row r="22" spans="1:101" s="84" customFormat="1" ht="20.100000000000001" customHeight="1" x14ac:dyDescent="0.25">
      <c r="A22" s="378">
        <v>44107</v>
      </c>
      <c r="B22" s="424">
        <f t="shared" ref="B22" si="16">SUM(F22,J22,N22,R22)</f>
        <v>0</v>
      </c>
      <c r="C22" s="425">
        <f t="shared" ref="C22" si="17">SUM(G22,K22,O22,S22)</f>
        <v>0</v>
      </c>
      <c r="D22" s="438">
        <f t="shared" ref="D22" si="18">SUM(H22,L22,P22,T22)</f>
        <v>99</v>
      </c>
      <c r="E22" s="439">
        <f>SUM(B22:D22)</f>
        <v>99</v>
      </c>
      <c r="F22" s="557">
        <v>0</v>
      </c>
      <c r="G22" s="476">
        <v>0</v>
      </c>
      <c r="H22" s="476">
        <v>38</v>
      </c>
      <c r="I22" s="442">
        <f t="shared" si="5"/>
        <v>38</v>
      </c>
      <c r="J22" s="557">
        <v>0</v>
      </c>
      <c r="K22" s="476">
        <v>0</v>
      </c>
      <c r="L22" s="476">
        <v>17</v>
      </c>
      <c r="M22" s="442">
        <f t="shared" si="6"/>
        <v>17</v>
      </c>
      <c r="N22" s="557">
        <v>0</v>
      </c>
      <c r="O22" s="476">
        <v>0</v>
      </c>
      <c r="P22" s="476">
        <v>39</v>
      </c>
      <c r="Q22" s="443">
        <f t="shared" si="7"/>
        <v>39</v>
      </c>
      <c r="R22" s="557">
        <v>0</v>
      </c>
      <c r="S22" s="476">
        <v>0</v>
      </c>
      <c r="T22" s="476">
        <v>5</v>
      </c>
      <c r="U22" s="443">
        <f t="shared" si="8"/>
        <v>5</v>
      </c>
      <c r="V22" s="86"/>
      <c r="W22" s="116"/>
      <c r="X22" s="116"/>
      <c r="Y22" s="116"/>
      <c r="Z22" s="116"/>
      <c r="AA22" s="86"/>
      <c r="AB22" s="116"/>
      <c r="AC22" s="116"/>
      <c r="AD22" s="116"/>
      <c r="AE22" s="116"/>
      <c r="AF22" s="86"/>
      <c r="AG22" s="116"/>
      <c r="AH22" s="116"/>
      <c r="AI22" s="116"/>
      <c r="AJ22" s="116"/>
      <c r="AK22" s="86"/>
      <c r="AL22" s="116"/>
      <c r="AM22" s="116"/>
      <c r="AN22" s="116"/>
      <c r="AO22" s="116"/>
      <c r="AP22" s="86"/>
      <c r="AQ22" s="116"/>
      <c r="AR22" s="116"/>
      <c r="AS22" s="116"/>
      <c r="AT22" s="116"/>
      <c r="AU22" s="86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93"/>
      <c r="CA22" s="93"/>
      <c r="CB22" s="93"/>
      <c r="CC22" s="93"/>
      <c r="CD22" s="93"/>
      <c r="CE22" s="93"/>
      <c r="CF22" s="93"/>
      <c r="CG22" s="93"/>
      <c r="CH22" s="93"/>
      <c r="CI22" s="93"/>
      <c r="CJ22" s="93"/>
      <c r="CK22" s="93"/>
      <c r="CL22" s="93"/>
      <c r="CM22" s="93"/>
      <c r="CN22" s="93"/>
      <c r="CO22" s="93"/>
      <c r="CP22" s="93"/>
      <c r="CQ22" s="93"/>
      <c r="CR22" s="93"/>
      <c r="CS22" s="93"/>
      <c r="CT22" s="93"/>
      <c r="CU22" s="93"/>
      <c r="CV22" s="93"/>
      <c r="CW22" s="93"/>
    </row>
    <row r="23" spans="1:101" ht="20.100000000000001" customHeight="1" x14ac:dyDescent="0.25">
      <c r="A23" s="378">
        <v>44108</v>
      </c>
      <c r="B23" s="510"/>
      <c r="C23" s="511"/>
      <c r="D23" s="455"/>
      <c r="E23" s="433"/>
      <c r="F23" s="452"/>
      <c r="G23" s="453"/>
      <c r="H23" s="453"/>
      <c r="I23" s="451"/>
      <c r="J23" s="452"/>
      <c r="K23" s="453"/>
      <c r="L23" s="453"/>
      <c r="M23" s="451"/>
      <c r="N23" s="452"/>
      <c r="O23" s="453"/>
      <c r="P23" s="453"/>
      <c r="Q23" s="454"/>
      <c r="R23" s="452"/>
      <c r="S23" s="453"/>
      <c r="T23" s="453"/>
      <c r="U23" s="454"/>
      <c r="V23" s="86"/>
      <c r="W23" s="116"/>
      <c r="X23" s="116"/>
      <c r="Y23" s="116"/>
      <c r="Z23" s="116"/>
      <c r="AA23" s="86"/>
      <c r="AB23" s="116"/>
      <c r="AC23" s="116"/>
      <c r="AD23" s="116"/>
      <c r="AE23" s="116"/>
      <c r="AF23" s="86"/>
      <c r="AG23" s="116"/>
      <c r="AH23" s="116"/>
      <c r="AI23" s="116"/>
      <c r="AJ23" s="116"/>
      <c r="AK23" s="86"/>
      <c r="AL23" s="116"/>
      <c r="AM23" s="116"/>
      <c r="AN23" s="116"/>
      <c r="AO23" s="116"/>
      <c r="AP23" s="86"/>
      <c r="AQ23" s="116"/>
      <c r="AR23" s="116"/>
      <c r="AS23" s="116"/>
      <c r="AT23" s="116"/>
      <c r="AU23" s="86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</row>
    <row r="24" spans="1:101" s="111" customFormat="1" ht="20.100000000000001" customHeight="1" x14ac:dyDescent="0.25">
      <c r="A24" s="378">
        <v>44109</v>
      </c>
      <c r="B24" s="424">
        <f t="shared" ref="B24:B27" si="19">SUM(F24,J24,N24,R24)</f>
        <v>5819</v>
      </c>
      <c r="C24" s="425">
        <f t="shared" ref="C24:C27" si="20">SUM(G24,K24,O24,S24)</f>
        <v>41</v>
      </c>
      <c r="D24" s="438">
        <f t="shared" ref="D24:D27" si="21">SUM(H24,L24,P24,T24)</f>
        <v>0</v>
      </c>
      <c r="E24" s="439">
        <f t="shared" ref="E24" si="22">SUM(B24:D24)</f>
        <v>5860</v>
      </c>
      <c r="F24" s="112">
        <v>1586</v>
      </c>
      <c r="G24" s="112">
        <v>13</v>
      </c>
      <c r="H24" s="112">
        <v>0</v>
      </c>
      <c r="I24" s="564">
        <f>SUM(F24:H24)</f>
        <v>1599</v>
      </c>
      <c r="J24" s="112">
        <v>1090</v>
      </c>
      <c r="K24" s="112">
        <v>9</v>
      </c>
      <c r="L24" s="112">
        <v>0</v>
      </c>
      <c r="M24" s="564">
        <f>SUM(J24:L24)</f>
        <v>1099</v>
      </c>
      <c r="N24" s="112">
        <v>3055</v>
      </c>
      <c r="O24" s="112">
        <v>18</v>
      </c>
      <c r="P24" s="112">
        <v>0</v>
      </c>
      <c r="Q24" s="565">
        <f>SUM(N24:P24)</f>
        <v>3073</v>
      </c>
      <c r="R24" s="566">
        <v>88</v>
      </c>
      <c r="S24" s="112">
        <v>1</v>
      </c>
      <c r="T24" s="112">
        <v>0</v>
      </c>
      <c r="U24" s="567">
        <f>SUM(R24:T24)</f>
        <v>89</v>
      </c>
      <c r="V24" s="86"/>
      <c r="W24" s="116"/>
      <c r="X24" s="116"/>
      <c r="Y24" s="116"/>
      <c r="Z24" s="116"/>
      <c r="AA24" s="86"/>
      <c r="AB24" s="116"/>
      <c r="AC24" s="116"/>
      <c r="AD24" s="116"/>
      <c r="AE24" s="116"/>
      <c r="AF24" s="86"/>
      <c r="AG24" s="116"/>
      <c r="AH24" s="116"/>
      <c r="AI24" s="116"/>
      <c r="AJ24" s="116"/>
      <c r="AK24" s="86"/>
      <c r="AL24" s="116"/>
      <c r="AM24" s="116"/>
      <c r="AN24" s="116"/>
      <c r="AO24" s="116"/>
      <c r="AP24" s="86"/>
      <c r="AQ24" s="116"/>
      <c r="AR24" s="116"/>
      <c r="AS24" s="116"/>
      <c r="AT24" s="116"/>
      <c r="AU24" s="8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  <c r="CF24" s="116"/>
      <c r="CG24" s="116"/>
      <c r="CH24" s="116"/>
      <c r="CI24" s="116"/>
      <c r="CJ24" s="116"/>
      <c r="CK24" s="116"/>
      <c r="CL24" s="116"/>
      <c r="CM24" s="116"/>
      <c r="CN24" s="116"/>
      <c r="CO24" s="116"/>
      <c r="CP24" s="116"/>
      <c r="CQ24" s="116"/>
      <c r="CR24" s="116"/>
      <c r="CS24" s="116"/>
      <c r="CT24" s="116"/>
      <c r="CU24" s="116"/>
      <c r="CV24" s="116"/>
      <c r="CW24" s="116"/>
    </row>
    <row r="25" spans="1:101" ht="20.100000000000001" customHeight="1" x14ac:dyDescent="0.25">
      <c r="A25" s="378">
        <v>44110</v>
      </c>
      <c r="B25" s="437">
        <f t="shared" si="19"/>
        <v>7279</v>
      </c>
      <c r="C25" s="438">
        <f t="shared" si="20"/>
        <v>66</v>
      </c>
      <c r="D25" s="438">
        <f t="shared" si="21"/>
        <v>192</v>
      </c>
      <c r="E25" s="439">
        <f>SUM(B25:D25)</f>
        <v>7537</v>
      </c>
      <c r="F25" s="440">
        <v>2378</v>
      </c>
      <c r="G25" s="441">
        <v>23</v>
      </c>
      <c r="H25" s="441">
        <v>49</v>
      </c>
      <c r="I25" s="442">
        <f>SUM(F25:H25)</f>
        <v>2450</v>
      </c>
      <c r="J25" s="440">
        <v>1746</v>
      </c>
      <c r="K25" s="441">
        <v>7</v>
      </c>
      <c r="L25" s="441">
        <v>35</v>
      </c>
      <c r="M25" s="442">
        <f>SUM(J25:L25)</f>
        <v>1788</v>
      </c>
      <c r="N25" s="440">
        <v>3048</v>
      </c>
      <c r="O25" s="441">
        <v>36</v>
      </c>
      <c r="P25" s="441">
        <v>106</v>
      </c>
      <c r="Q25" s="443">
        <f>SUM(N25:P25)</f>
        <v>3190</v>
      </c>
      <c r="R25" s="440">
        <v>107</v>
      </c>
      <c r="S25" s="441">
        <v>0</v>
      </c>
      <c r="T25" s="441">
        <v>2</v>
      </c>
      <c r="U25" s="443">
        <f>SUM(R25:T25)</f>
        <v>109</v>
      </c>
      <c r="V25" s="86"/>
      <c r="W25" s="116"/>
      <c r="X25" s="116"/>
      <c r="Y25" s="116"/>
      <c r="Z25" s="116"/>
      <c r="AA25" s="86"/>
      <c r="AB25" s="116"/>
      <c r="AC25" s="116"/>
      <c r="AD25" s="116"/>
      <c r="AE25" s="116"/>
      <c r="AF25" s="86"/>
      <c r="AG25" s="116"/>
      <c r="AH25" s="116"/>
      <c r="AI25" s="116"/>
      <c r="AJ25" s="116"/>
      <c r="AK25" s="86"/>
      <c r="AL25" s="116"/>
      <c r="AM25" s="116"/>
      <c r="AN25" s="116"/>
      <c r="AO25" s="116"/>
      <c r="AP25" s="86"/>
      <c r="AQ25" s="116"/>
      <c r="AR25" s="116"/>
      <c r="AS25" s="116"/>
      <c r="AT25" s="116"/>
      <c r="AU25" s="86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</row>
    <row r="26" spans="1:101" ht="20.100000000000001" customHeight="1" x14ac:dyDescent="0.25">
      <c r="A26" s="378">
        <v>44111</v>
      </c>
      <c r="B26" s="437">
        <f t="shared" si="19"/>
        <v>4974</v>
      </c>
      <c r="C26" s="438">
        <f t="shared" si="20"/>
        <v>36</v>
      </c>
      <c r="D26" s="438">
        <f t="shared" si="21"/>
        <v>111</v>
      </c>
      <c r="E26" s="439">
        <f>SUM(B26:D26)</f>
        <v>5121</v>
      </c>
      <c r="F26" s="440">
        <v>1022</v>
      </c>
      <c r="G26" s="441">
        <v>12</v>
      </c>
      <c r="H26" s="441">
        <v>36</v>
      </c>
      <c r="I26" s="442">
        <f>SUM(F26:H26)</f>
        <v>1070</v>
      </c>
      <c r="J26" s="440">
        <v>1231</v>
      </c>
      <c r="K26" s="441">
        <v>5</v>
      </c>
      <c r="L26" s="441">
        <v>16</v>
      </c>
      <c r="M26" s="442">
        <f>SUM(J26:L26)</f>
        <v>1252</v>
      </c>
      <c r="N26" s="440">
        <v>2597</v>
      </c>
      <c r="O26" s="441">
        <v>19</v>
      </c>
      <c r="P26" s="441">
        <v>56</v>
      </c>
      <c r="Q26" s="443">
        <f>SUM(N26:P26)</f>
        <v>2672</v>
      </c>
      <c r="R26" s="440">
        <v>124</v>
      </c>
      <c r="S26" s="441">
        <v>0</v>
      </c>
      <c r="T26" s="441">
        <v>3</v>
      </c>
      <c r="U26" s="443">
        <f>SUM(R26:T26)</f>
        <v>127</v>
      </c>
      <c r="V26" s="86"/>
      <c r="W26" s="116"/>
      <c r="X26" s="116"/>
      <c r="Y26" s="116"/>
      <c r="Z26" s="116"/>
      <c r="AA26" s="86"/>
      <c r="AB26" s="116"/>
      <c r="AC26" s="116"/>
      <c r="AD26" s="116"/>
      <c r="AE26" s="116"/>
      <c r="AF26" s="86"/>
      <c r="AG26" s="116"/>
      <c r="AH26" s="116"/>
      <c r="AI26" s="116"/>
      <c r="AJ26" s="116"/>
      <c r="AK26" s="86"/>
      <c r="AL26" s="116"/>
      <c r="AM26" s="116"/>
      <c r="AN26" s="116"/>
      <c r="AO26" s="116"/>
      <c r="AP26" s="86"/>
      <c r="AQ26" s="116"/>
      <c r="AR26" s="116"/>
      <c r="AS26" s="116"/>
      <c r="AT26" s="116"/>
      <c r="AU26" s="86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</row>
    <row r="27" spans="1:101" ht="20.100000000000001" customHeight="1" x14ac:dyDescent="0.25">
      <c r="A27" s="378">
        <v>44112</v>
      </c>
      <c r="B27" s="437">
        <f t="shared" si="19"/>
        <v>2743</v>
      </c>
      <c r="C27" s="438">
        <f t="shared" si="20"/>
        <v>57</v>
      </c>
      <c r="D27" s="438">
        <f t="shared" si="21"/>
        <v>112</v>
      </c>
      <c r="E27" s="439">
        <f>SUM(B27:D27)</f>
        <v>2912</v>
      </c>
      <c r="F27" s="440">
        <v>742</v>
      </c>
      <c r="G27" s="441">
        <v>17</v>
      </c>
      <c r="H27" s="441">
        <v>34</v>
      </c>
      <c r="I27" s="442">
        <f>SUM(F27:H27)</f>
        <v>793</v>
      </c>
      <c r="J27" s="440">
        <v>389</v>
      </c>
      <c r="K27" s="441">
        <v>6</v>
      </c>
      <c r="L27" s="441">
        <v>24</v>
      </c>
      <c r="M27" s="442">
        <f>SUM(J27:L27)</f>
        <v>419</v>
      </c>
      <c r="N27" s="456">
        <v>1603</v>
      </c>
      <c r="O27" s="457">
        <v>34</v>
      </c>
      <c r="P27" s="457">
        <v>53</v>
      </c>
      <c r="Q27" s="443">
        <f>SUM(N27:P27)</f>
        <v>1690</v>
      </c>
      <c r="R27" s="456">
        <v>9</v>
      </c>
      <c r="S27" s="457">
        <v>0</v>
      </c>
      <c r="T27" s="457">
        <v>1</v>
      </c>
      <c r="U27" s="443">
        <f>SUM(R27:T27)</f>
        <v>10</v>
      </c>
      <c r="V27" s="86"/>
      <c r="W27" s="116"/>
      <c r="X27" s="116"/>
      <c r="Y27" s="116"/>
      <c r="Z27" s="116"/>
      <c r="AA27" s="86"/>
      <c r="AB27" s="116"/>
      <c r="AC27" s="116"/>
      <c r="AD27" s="116"/>
      <c r="AE27" s="116"/>
      <c r="AF27" s="86"/>
      <c r="AG27" s="116"/>
      <c r="AH27" s="116"/>
      <c r="AI27" s="116"/>
      <c r="AJ27" s="116"/>
      <c r="AK27" s="86"/>
      <c r="AL27" s="116"/>
      <c r="AM27" s="116"/>
      <c r="AN27" s="116"/>
      <c r="AO27" s="116"/>
      <c r="AP27" s="86"/>
      <c r="AQ27" s="116"/>
      <c r="AR27" s="116"/>
      <c r="AS27" s="116"/>
      <c r="AT27" s="116"/>
      <c r="AU27" s="86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</row>
    <row r="28" spans="1:101" ht="20.100000000000001" customHeight="1" x14ac:dyDescent="0.25">
      <c r="A28" s="378">
        <v>44113</v>
      </c>
      <c r="B28" s="437">
        <f t="shared" ref="B28" si="23">SUM(F28,J28,N28,R28)</f>
        <v>4036</v>
      </c>
      <c r="C28" s="438">
        <f t="shared" ref="C28" si="24">SUM(G28,K28,O28,S28)</f>
        <v>53</v>
      </c>
      <c r="D28" s="438">
        <f t="shared" ref="D28" si="25">SUM(H28,L28,P28,T28)</f>
        <v>65</v>
      </c>
      <c r="E28" s="439">
        <f>SUM(B28:D28)</f>
        <v>4154</v>
      </c>
      <c r="F28" s="440">
        <v>962</v>
      </c>
      <c r="G28" s="441">
        <v>22</v>
      </c>
      <c r="H28" s="441">
        <v>30</v>
      </c>
      <c r="I28" s="442">
        <f>SUM(F28:H28)</f>
        <v>1014</v>
      </c>
      <c r="J28" s="440">
        <v>899</v>
      </c>
      <c r="K28" s="441">
        <v>9</v>
      </c>
      <c r="L28" s="441">
        <v>10</v>
      </c>
      <c r="M28" s="442">
        <f>SUM(J28:L28)</f>
        <v>918</v>
      </c>
      <c r="N28" s="440">
        <v>2116</v>
      </c>
      <c r="O28" s="441">
        <v>19</v>
      </c>
      <c r="P28" s="441">
        <v>25</v>
      </c>
      <c r="Q28" s="443">
        <f>SUM(N28:P28)</f>
        <v>2160</v>
      </c>
      <c r="R28" s="440">
        <v>59</v>
      </c>
      <c r="S28" s="441">
        <v>3</v>
      </c>
      <c r="T28" s="441">
        <v>0</v>
      </c>
      <c r="U28" s="443">
        <f>SUM(R28:T28)</f>
        <v>62</v>
      </c>
      <c r="V28" s="86"/>
      <c r="W28" s="116"/>
      <c r="X28" s="116"/>
      <c r="Y28" s="116"/>
      <c r="Z28" s="116"/>
      <c r="AA28" s="86"/>
      <c r="AB28" s="116"/>
      <c r="AC28" s="116"/>
      <c r="AD28" s="116"/>
      <c r="AE28" s="116"/>
      <c r="AF28" s="86"/>
      <c r="AG28" s="116"/>
      <c r="AH28" s="116"/>
      <c r="AI28" s="116"/>
      <c r="AJ28" s="116"/>
      <c r="AK28" s="86"/>
      <c r="AL28" s="116"/>
      <c r="AM28" s="116"/>
      <c r="AN28" s="116"/>
      <c r="AO28" s="116"/>
      <c r="AP28" s="86"/>
      <c r="AQ28" s="116"/>
      <c r="AR28" s="116"/>
      <c r="AS28" s="116"/>
      <c r="AT28" s="116"/>
      <c r="AU28" s="86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</row>
    <row r="29" spans="1:101" s="84" customFormat="1" ht="20.100000000000001" customHeight="1" x14ac:dyDescent="0.25">
      <c r="A29" s="378">
        <v>44114</v>
      </c>
      <c r="B29" s="573"/>
      <c r="C29" s="444"/>
      <c r="D29" s="444"/>
      <c r="E29" s="446"/>
      <c r="F29" s="459"/>
      <c r="G29" s="460"/>
      <c r="H29" s="460"/>
      <c r="I29" s="458"/>
      <c r="J29" s="459"/>
      <c r="K29" s="460"/>
      <c r="L29" s="460"/>
      <c r="M29" s="458"/>
      <c r="N29" s="459"/>
      <c r="O29" s="460"/>
      <c r="P29" s="460"/>
      <c r="Q29" s="461"/>
      <c r="R29" s="459"/>
      <c r="S29" s="460"/>
      <c r="T29" s="460"/>
      <c r="U29" s="461"/>
      <c r="V29" s="86"/>
      <c r="W29" s="116"/>
      <c r="X29" s="116"/>
      <c r="Y29" s="116"/>
      <c r="Z29" s="116"/>
      <c r="AA29" s="86"/>
      <c r="AB29" s="116"/>
      <c r="AC29" s="116"/>
      <c r="AD29" s="116"/>
      <c r="AE29" s="116"/>
      <c r="AF29" s="86"/>
      <c r="AG29" s="116"/>
      <c r="AH29" s="116"/>
      <c r="AI29" s="116"/>
      <c r="AJ29" s="116"/>
      <c r="AK29" s="86"/>
      <c r="AL29" s="116"/>
      <c r="AM29" s="116"/>
      <c r="AN29" s="116"/>
      <c r="AO29" s="116"/>
      <c r="AP29" s="86"/>
      <c r="AQ29" s="116"/>
      <c r="AR29" s="116"/>
      <c r="AS29" s="116"/>
      <c r="AT29" s="116"/>
      <c r="AU29" s="86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93"/>
      <c r="BL29" s="93"/>
      <c r="BM29" s="93"/>
      <c r="BN29" s="93"/>
      <c r="BO29" s="93"/>
      <c r="BP29" s="93"/>
      <c r="BQ29" s="93"/>
      <c r="BR29" s="93"/>
      <c r="BS29" s="93"/>
      <c r="BT29" s="93"/>
      <c r="BU29" s="93"/>
      <c r="BV29" s="93"/>
      <c r="BW29" s="93"/>
      <c r="BX29" s="93"/>
      <c r="BY29" s="93"/>
      <c r="BZ29" s="93"/>
      <c r="CA29" s="93"/>
      <c r="CB29" s="93"/>
      <c r="CC29" s="93"/>
      <c r="CD29" s="93"/>
      <c r="CE29" s="93"/>
      <c r="CF29" s="93"/>
      <c r="CG29" s="93"/>
      <c r="CH29" s="93"/>
      <c r="CI29" s="93"/>
      <c r="CJ29" s="93"/>
      <c r="CK29" s="93"/>
      <c r="CL29" s="93"/>
      <c r="CM29" s="93"/>
      <c r="CN29" s="93"/>
      <c r="CO29" s="93"/>
      <c r="CP29" s="93"/>
      <c r="CQ29" s="93"/>
      <c r="CR29" s="93"/>
      <c r="CS29" s="93"/>
      <c r="CT29" s="93"/>
      <c r="CU29" s="93"/>
      <c r="CV29" s="93"/>
      <c r="CW29" s="93"/>
    </row>
    <row r="30" spans="1:101" ht="20.100000000000001" customHeight="1" x14ac:dyDescent="0.25">
      <c r="A30" s="378">
        <v>44115</v>
      </c>
      <c r="B30" s="520"/>
      <c r="C30" s="521"/>
      <c r="D30" s="521"/>
      <c r="E30" s="574"/>
      <c r="F30" s="452"/>
      <c r="G30" s="453"/>
      <c r="H30" s="453"/>
      <c r="I30" s="451"/>
      <c r="J30" s="452"/>
      <c r="K30" s="453"/>
      <c r="L30" s="453"/>
      <c r="M30" s="451"/>
      <c r="N30" s="452"/>
      <c r="O30" s="453"/>
      <c r="P30" s="453"/>
      <c r="Q30" s="454"/>
      <c r="R30" s="452"/>
      <c r="S30" s="453"/>
      <c r="T30" s="453"/>
      <c r="U30" s="454"/>
      <c r="V30" s="86"/>
      <c r="W30" s="116"/>
      <c r="X30" s="116"/>
      <c r="Y30" s="116"/>
      <c r="Z30" s="116"/>
      <c r="AA30" s="86"/>
      <c r="AB30" s="116"/>
      <c r="AC30" s="116"/>
      <c r="AD30" s="116"/>
      <c r="AE30" s="116"/>
      <c r="AF30" s="86"/>
      <c r="AG30" s="116"/>
      <c r="AH30" s="116"/>
      <c r="AI30" s="116"/>
      <c r="AJ30" s="116"/>
      <c r="AK30" s="86"/>
      <c r="AL30" s="116"/>
      <c r="AM30" s="116"/>
      <c r="AN30" s="116"/>
      <c r="AO30" s="116"/>
      <c r="AP30" s="86"/>
      <c r="AQ30" s="116"/>
      <c r="AR30" s="116"/>
      <c r="AS30" s="116"/>
      <c r="AT30" s="116"/>
      <c r="AU30" s="86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</row>
    <row r="31" spans="1:101" s="105" customFormat="1" ht="20.100000000000001" customHeight="1" x14ac:dyDescent="0.25">
      <c r="A31" s="378">
        <v>44116</v>
      </c>
      <c r="B31" s="431"/>
      <c r="C31" s="432"/>
      <c r="D31" s="432"/>
      <c r="E31" s="451"/>
      <c r="F31" s="434"/>
      <c r="G31" s="435"/>
      <c r="H31" s="435"/>
      <c r="I31" s="433"/>
      <c r="J31" s="434"/>
      <c r="K31" s="435"/>
      <c r="L31" s="435"/>
      <c r="M31" s="433"/>
      <c r="N31" s="434"/>
      <c r="O31" s="435"/>
      <c r="P31" s="435"/>
      <c r="Q31" s="436"/>
      <c r="R31" s="434"/>
      <c r="S31" s="435"/>
      <c r="T31" s="435"/>
      <c r="U31" s="436"/>
      <c r="V31" s="86"/>
      <c r="W31" s="116"/>
      <c r="X31" s="116"/>
      <c r="Y31" s="116"/>
      <c r="Z31" s="116"/>
      <c r="AA31" s="86"/>
      <c r="AB31" s="116"/>
      <c r="AC31" s="116"/>
      <c r="AD31" s="116"/>
      <c r="AE31" s="116"/>
      <c r="AF31" s="86"/>
      <c r="AG31" s="116"/>
      <c r="AH31" s="116"/>
      <c r="AI31" s="116"/>
      <c r="AJ31" s="116"/>
      <c r="AK31" s="86"/>
      <c r="AL31" s="116"/>
      <c r="AM31" s="116"/>
      <c r="AN31" s="116"/>
      <c r="AO31" s="116"/>
      <c r="AP31" s="86"/>
      <c r="AQ31" s="116"/>
      <c r="AR31" s="116"/>
      <c r="AS31" s="116"/>
      <c r="AT31" s="116"/>
      <c r="AU31" s="86"/>
      <c r="AV31" s="93"/>
      <c r="AW31" s="93"/>
      <c r="AX31" s="93"/>
      <c r="AY31" s="93"/>
      <c r="AZ31" s="572"/>
      <c r="BA31" s="572"/>
      <c r="BB31" s="572"/>
      <c r="BC31" s="572"/>
      <c r="BD31" s="572"/>
      <c r="BE31" s="572"/>
      <c r="BF31" s="572"/>
      <c r="BG31" s="572"/>
      <c r="BH31" s="572"/>
      <c r="BI31" s="572"/>
      <c r="BJ31" s="572"/>
      <c r="BK31" s="572"/>
      <c r="BL31" s="572"/>
      <c r="BM31" s="572"/>
      <c r="BN31" s="572"/>
      <c r="BO31" s="572"/>
      <c r="BP31" s="572"/>
      <c r="BQ31" s="572"/>
      <c r="BR31" s="572"/>
      <c r="BS31" s="572"/>
      <c r="BT31" s="572"/>
      <c r="BU31" s="572"/>
      <c r="BV31" s="572"/>
      <c r="BW31" s="572"/>
      <c r="BX31" s="572"/>
      <c r="BY31" s="572"/>
      <c r="BZ31" s="572"/>
      <c r="CA31" s="572"/>
      <c r="CB31" s="572"/>
      <c r="CC31" s="572"/>
      <c r="CD31" s="572"/>
      <c r="CE31" s="572"/>
      <c r="CF31" s="572"/>
      <c r="CG31" s="572"/>
      <c r="CH31" s="572"/>
      <c r="CI31" s="572"/>
      <c r="CJ31" s="572"/>
      <c r="CK31" s="572"/>
      <c r="CL31" s="572"/>
      <c r="CM31" s="572"/>
      <c r="CN31" s="572"/>
      <c r="CO31" s="572"/>
      <c r="CP31" s="572"/>
      <c r="CQ31" s="572"/>
      <c r="CR31" s="572"/>
      <c r="CS31" s="572"/>
      <c r="CT31" s="572"/>
      <c r="CU31" s="572"/>
      <c r="CV31" s="572"/>
      <c r="CW31" s="572"/>
    </row>
    <row r="32" spans="1:101" ht="20.100000000000001" customHeight="1" x14ac:dyDescent="0.25">
      <c r="A32" s="378">
        <v>44117</v>
      </c>
      <c r="B32" s="437">
        <f t="shared" ref="B32" si="26">SUM(F32,J32,N32,R32)</f>
        <v>5471</v>
      </c>
      <c r="C32" s="438">
        <f t="shared" ref="C32" si="27">SUM(G32,K32,O32,S32)</f>
        <v>51</v>
      </c>
      <c r="D32" s="438">
        <f t="shared" ref="D32" si="28">SUM(H32,L32,P32,T32)</f>
        <v>202</v>
      </c>
      <c r="E32" s="439">
        <f t="shared" ref="E32" si="29">SUM(B32:D32)</f>
        <v>5724</v>
      </c>
      <c r="F32" s="440">
        <v>2156</v>
      </c>
      <c r="G32" s="441">
        <v>23</v>
      </c>
      <c r="H32" s="441">
        <f>36+42</f>
        <v>78</v>
      </c>
      <c r="I32" s="442">
        <f>SUM(F32:H32)</f>
        <v>2257</v>
      </c>
      <c r="J32" s="440">
        <v>1077</v>
      </c>
      <c r="K32" s="441">
        <v>9</v>
      </c>
      <c r="L32" s="441">
        <f>15+19</f>
        <v>34</v>
      </c>
      <c r="M32" s="442">
        <f>SUM(J32:L32)</f>
        <v>1120</v>
      </c>
      <c r="N32" s="440">
        <v>2145</v>
      </c>
      <c r="O32" s="441">
        <v>19</v>
      </c>
      <c r="P32" s="441">
        <f>44+46</f>
        <v>90</v>
      </c>
      <c r="Q32" s="443">
        <f>SUM(N32:P32)</f>
        <v>2254</v>
      </c>
      <c r="R32" s="440">
        <v>93</v>
      </c>
      <c r="S32" s="441">
        <v>0</v>
      </c>
      <c r="T32" s="441">
        <v>0</v>
      </c>
      <c r="U32" s="443">
        <f>SUM(R32:T32)</f>
        <v>93</v>
      </c>
      <c r="V32" s="86"/>
      <c r="W32" s="116"/>
      <c r="X32" s="116"/>
      <c r="Y32" s="116"/>
      <c r="Z32" s="116"/>
      <c r="AA32" s="86"/>
      <c r="AB32" s="116"/>
      <c r="AC32" s="116"/>
      <c r="AD32" s="116"/>
      <c r="AE32" s="116"/>
      <c r="AF32" s="86"/>
      <c r="AG32" s="116"/>
      <c r="AH32" s="116"/>
      <c r="AI32" s="116"/>
      <c r="AJ32" s="116"/>
      <c r="AK32" s="86"/>
      <c r="AL32" s="116"/>
      <c r="AM32" s="116"/>
      <c r="AN32" s="116"/>
      <c r="AO32" s="116"/>
      <c r="AP32" s="86"/>
      <c r="AQ32" s="116"/>
      <c r="AR32" s="116"/>
      <c r="AS32" s="116"/>
      <c r="AT32" s="116"/>
      <c r="AU32" s="86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</row>
    <row r="33" spans="1:101" ht="20.100000000000001" customHeight="1" x14ac:dyDescent="0.25">
      <c r="A33" s="378">
        <v>44118</v>
      </c>
      <c r="B33" s="437">
        <f t="shared" ref="B33" si="30">SUM(F33,J33,N33,R33)</f>
        <v>2921</v>
      </c>
      <c r="C33" s="438">
        <f t="shared" ref="C33" si="31">SUM(G33,K33,O33,S33)</f>
        <v>22</v>
      </c>
      <c r="D33" s="438">
        <f t="shared" ref="D33" si="32">SUM(H33,L33,P33,T33)</f>
        <v>66</v>
      </c>
      <c r="E33" s="439">
        <f t="shared" ref="E33" si="33">SUM(B33:D33)</f>
        <v>3009</v>
      </c>
      <c r="F33" s="440">
        <v>927</v>
      </c>
      <c r="G33" s="441">
        <v>7</v>
      </c>
      <c r="H33" s="441">
        <v>19</v>
      </c>
      <c r="I33" s="442">
        <f>SUM(F33:H33)</f>
        <v>953</v>
      </c>
      <c r="J33" s="440">
        <v>337</v>
      </c>
      <c r="K33" s="441">
        <v>6</v>
      </c>
      <c r="L33" s="441">
        <v>10</v>
      </c>
      <c r="M33" s="442">
        <f>SUM(J33:L33)</f>
        <v>353</v>
      </c>
      <c r="N33" s="440">
        <v>1634</v>
      </c>
      <c r="O33" s="441">
        <v>9</v>
      </c>
      <c r="P33" s="441">
        <v>37</v>
      </c>
      <c r="Q33" s="443">
        <f>SUM(N33:P33)</f>
        <v>1680</v>
      </c>
      <c r="R33" s="440">
        <v>23</v>
      </c>
      <c r="S33" s="441">
        <v>0</v>
      </c>
      <c r="T33" s="441">
        <v>0</v>
      </c>
      <c r="U33" s="443">
        <f>SUM(R33:T33)</f>
        <v>23</v>
      </c>
      <c r="V33" s="86"/>
      <c r="W33" s="116"/>
      <c r="X33" s="116"/>
      <c r="Y33" s="116"/>
      <c r="Z33" s="116"/>
      <c r="AA33" s="86"/>
      <c r="AB33" s="116"/>
      <c r="AC33" s="116"/>
      <c r="AD33" s="116"/>
      <c r="AE33" s="116"/>
      <c r="AF33" s="86"/>
      <c r="AG33" s="116"/>
      <c r="AH33" s="116"/>
      <c r="AI33" s="116"/>
      <c r="AJ33" s="116"/>
      <c r="AK33" s="86"/>
      <c r="AL33" s="116"/>
      <c r="AM33" s="116"/>
      <c r="AN33" s="116"/>
      <c r="AO33" s="116"/>
      <c r="AP33" s="86"/>
      <c r="AQ33" s="116"/>
      <c r="AR33" s="116"/>
      <c r="AS33" s="116"/>
      <c r="AT33" s="116"/>
      <c r="AU33" s="86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</row>
    <row r="34" spans="1:101" ht="20.100000000000001" customHeight="1" x14ac:dyDescent="0.25">
      <c r="A34" s="378">
        <v>44119</v>
      </c>
      <c r="B34" s="437">
        <f>SUM(F34,J34,N34,R34)</f>
        <v>2092</v>
      </c>
      <c r="C34" s="438">
        <f t="shared" ref="C34" si="34">SUM(G34,K34,O34,S34)</f>
        <v>22</v>
      </c>
      <c r="D34" s="438">
        <f>SUM(H34,L34,P34,T34)</f>
        <v>116</v>
      </c>
      <c r="E34" s="439">
        <f>SUM(B34:D34)</f>
        <v>2230</v>
      </c>
      <c r="F34" s="440">
        <v>239</v>
      </c>
      <c r="G34" s="441">
        <v>12</v>
      </c>
      <c r="H34" s="441">
        <v>30</v>
      </c>
      <c r="I34" s="442">
        <f>SUM(F34:H34)</f>
        <v>281</v>
      </c>
      <c r="J34" s="440">
        <v>550</v>
      </c>
      <c r="K34" s="441">
        <v>8</v>
      </c>
      <c r="L34" s="441">
        <v>23</v>
      </c>
      <c r="M34" s="442">
        <f>SUM(J34:L34)</f>
        <v>581</v>
      </c>
      <c r="N34" s="440">
        <v>1261</v>
      </c>
      <c r="O34" s="441">
        <v>2</v>
      </c>
      <c r="P34" s="441">
        <v>62</v>
      </c>
      <c r="Q34" s="443">
        <f>SUM(N34:P34)</f>
        <v>1325</v>
      </c>
      <c r="R34" s="440">
        <v>42</v>
      </c>
      <c r="S34" s="441">
        <v>0</v>
      </c>
      <c r="T34" s="441">
        <v>1</v>
      </c>
      <c r="U34" s="443">
        <f>SUM(R34:T34)</f>
        <v>43</v>
      </c>
      <c r="V34" s="86"/>
      <c r="W34" s="116"/>
      <c r="X34" s="116"/>
      <c r="Y34" s="116"/>
      <c r="Z34" s="116"/>
      <c r="AA34" s="86"/>
      <c r="AB34" s="116"/>
      <c r="AC34" s="116"/>
      <c r="AD34" s="116"/>
      <c r="AE34" s="116"/>
      <c r="AF34" s="86"/>
      <c r="AG34" s="116"/>
      <c r="AH34" s="116"/>
      <c r="AI34" s="116"/>
      <c r="AJ34" s="116"/>
      <c r="AK34" s="86"/>
      <c r="AL34" s="116"/>
      <c r="AM34" s="116"/>
      <c r="AN34" s="116"/>
      <c r="AO34" s="116"/>
      <c r="AP34" s="86"/>
      <c r="AQ34" s="116"/>
      <c r="AR34" s="116"/>
      <c r="AS34" s="116"/>
      <c r="AT34" s="116"/>
      <c r="AU34" s="86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</row>
    <row r="35" spans="1:101" ht="20.100000000000001" customHeight="1" x14ac:dyDescent="0.25">
      <c r="A35" s="378">
        <v>44120</v>
      </c>
      <c r="B35" s="437">
        <f>SUM(F35,J35,N35,R35)</f>
        <v>3958</v>
      </c>
      <c r="C35" s="438">
        <f t="shared" ref="C35" si="35">SUM(G35,K35,O35,S35)</f>
        <v>28</v>
      </c>
      <c r="D35" s="438">
        <f>SUM(H35,L35,P35,T35)</f>
        <v>93</v>
      </c>
      <c r="E35" s="439">
        <f>SUM(B35:D35)</f>
        <v>4079</v>
      </c>
      <c r="F35" s="440">
        <v>1567</v>
      </c>
      <c r="G35" s="441">
        <v>8</v>
      </c>
      <c r="H35" s="441">
        <v>20</v>
      </c>
      <c r="I35" s="442">
        <f>SUM(F35:H35)</f>
        <v>1595</v>
      </c>
      <c r="J35" s="440">
        <v>674</v>
      </c>
      <c r="K35" s="441">
        <v>7</v>
      </c>
      <c r="L35" s="441">
        <v>16</v>
      </c>
      <c r="M35" s="442">
        <f>SUM(J35:L35)</f>
        <v>697</v>
      </c>
      <c r="N35" s="440">
        <v>1662</v>
      </c>
      <c r="O35" s="441">
        <v>13</v>
      </c>
      <c r="P35" s="441">
        <v>54</v>
      </c>
      <c r="Q35" s="443">
        <f>SUM(N35:P35)</f>
        <v>1729</v>
      </c>
      <c r="R35" s="440">
        <v>55</v>
      </c>
      <c r="S35" s="441">
        <v>0</v>
      </c>
      <c r="T35" s="441">
        <v>3</v>
      </c>
      <c r="U35" s="443">
        <f>SUM(R35:T35)</f>
        <v>58</v>
      </c>
      <c r="V35" s="86"/>
      <c r="W35" s="116"/>
      <c r="X35" s="116"/>
      <c r="Y35" s="116"/>
      <c r="Z35" s="116"/>
      <c r="AA35" s="86"/>
      <c r="AB35" s="116"/>
      <c r="AC35" s="116"/>
      <c r="AD35" s="116"/>
      <c r="AE35" s="116"/>
      <c r="AF35" s="86"/>
      <c r="AG35" s="116"/>
      <c r="AH35" s="116"/>
      <c r="AI35" s="116"/>
      <c r="AJ35" s="116"/>
      <c r="AK35" s="86"/>
      <c r="AL35" s="116"/>
      <c r="AM35" s="116"/>
      <c r="AN35" s="116"/>
      <c r="AO35" s="116"/>
      <c r="AP35" s="86"/>
      <c r="AQ35" s="116"/>
      <c r="AR35" s="116"/>
      <c r="AS35" s="116"/>
      <c r="AT35" s="116"/>
      <c r="AU35" s="86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</row>
    <row r="36" spans="1:101" s="84" customFormat="1" ht="18.75" customHeight="1" x14ac:dyDescent="0.25">
      <c r="A36" s="378">
        <v>44121</v>
      </c>
      <c r="B36" s="465"/>
      <c r="C36" s="455"/>
      <c r="D36" s="455"/>
      <c r="E36" s="433"/>
      <c r="F36" s="452"/>
      <c r="G36" s="453"/>
      <c r="H36" s="453"/>
      <c r="I36" s="451"/>
      <c r="J36" s="452"/>
      <c r="K36" s="453"/>
      <c r="L36" s="453"/>
      <c r="M36" s="451"/>
      <c r="N36" s="452"/>
      <c r="O36" s="453"/>
      <c r="P36" s="453"/>
      <c r="Q36" s="454"/>
      <c r="R36" s="452"/>
      <c r="S36" s="453"/>
      <c r="T36" s="453"/>
      <c r="U36" s="454"/>
      <c r="V36" s="86"/>
      <c r="W36" s="116"/>
      <c r="X36" s="116"/>
      <c r="Y36" s="116"/>
      <c r="Z36" s="116"/>
      <c r="AA36" s="86"/>
      <c r="AB36" s="116"/>
      <c r="AC36" s="116"/>
      <c r="AD36" s="116"/>
      <c r="AE36" s="116"/>
      <c r="AF36" s="86"/>
      <c r="AG36" s="116"/>
      <c r="AH36" s="116"/>
      <c r="AI36" s="116"/>
      <c r="AJ36" s="116"/>
      <c r="AK36" s="86"/>
      <c r="AL36" s="116"/>
      <c r="AM36" s="116"/>
      <c r="AN36" s="116"/>
      <c r="AO36" s="116"/>
      <c r="AP36" s="86"/>
      <c r="AQ36" s="116"/>
      <c r="AR36" s="116"/>
      <c r="AS36" s="116"/>
      <c r="AT36" s="116"/>
      <c r="AU36" s="86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</row>
    <row r="37" spans="1:101" ht="20.100000000000001" customHeight="1" x14ac:dyDescent="0.25">
      <c r="A37" s="378">
        <v>44122</v>
      </c>
      <c r="B37" s="465"/>
      <c r="C37" s="455"/>
      <c r="D37" s="455"/>
      <c r="E37" s="433"/>
      <c r="F37" s="452"/>
      <c r="G37" s="453"/>
      <c r="H37" s="453"/>
      <c r="I37" s="451"/>
      <c r="J37" s="452"/>
      <c r="K37" s="453"/>
      <c r="L37" s="453"/>
      <c r="M37" s="451"/>
      <c r="N37" s="452"/>
      <c r="O37" s="453"/>
      <c r="P37" s="453"/>
      <c r="Q37" s="454"/>
      <c r="R37" s="452"/>
      <c r="S37" s="453"/>
      <c r="T37" s="453"/>
      <c r="U37" s="454"/>
      <c r="V37" s="86"/>
      <c r="W37" s="116"/>
      <c r="X37" s="116"/>
      <c r="Y37" s="116"/>
      <c r="Z37" s="116"/>
      <c r="AA37" s="86"/>
      <c r="AB37" s="116"/>
      <c r="AC37" s="116"/>
      <c r="AD37" s="116"/>
      <c r="AE37" s="116"/>
      <c r="AF37" s="86"/>
      <c r="AG37" s="116"/>
      <c r="AH37" s="116"/>
      <c r="AI37" s="116"/>
      <c r="AJ37" s="116"/>
      <c r="AK37" s="86"/>
      <c r="AL37" s="116"/>
      <c r="AM37" s="116"/>
      <c r="AN37" s="116"/>
      <c r="AO37" s="116"/>
      <c r="AP37" s="86"/>
      <c r="AQ37" s="116"/>
      <c r="AR37" s="116"/>
      <c r="AS37" s="116"/>
      <c r="AT37" s="116"/>
      <c r="AU37" s="86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</row>
    <row r="38" spans="1:101" ht="20.100000000000001" customHeight="1" x14ac:dyDescent="0.25">
      <c r="A38" s="378">
        <v>44123</v>
      </c>
      <c r="B38" s="437">
        <f t="shared" ref="B38" si="36">SUM(F38,J38,N38,R38)</f>
        <v>4553</v>
      </c>
      <c r="C38" s="438">
        <f t="shared" ref="C38" si="37">SUM(G38,K38,O38,S38)</f>
        <v>31</v>
      </c>
      <c r="D38" s="438">
        <f t="shared" ref="D38" si="38">SUM(H38,L38,P38,T38)</f>
        <v>94</v>
      </c>
      <c r="E38" s="439">
        <f t="shared" ref="E38" si="39">SUM(B38:D38)</f>
        <v>4678</v>
      </c>
      <c r="F38" s="440">
        <v>1689</v>
      </c>
      <c r="G38" s="441">
        <v>12</v>
      </c>
      <c r="H38" s="441">
        <v>38</v>
      </c>
      <c r="I38" s="442">
        <f>SUM(F38:H38)</f>
        <v>1739</v>
      </c>
      <c r="J38" s="440">
        <v>862</v>
      </c>
      <c r="K38" s="441">
        <v>5</v>
      </c>
      <c r="L38" s="441">
        <v>14</v>
      </c>
      <c r="M38" s="442">
        <f>SUM(J38:L38)</f>
        <v>881</v>
      </c>
      <c r="N38" s="440">
        <v>1904</v>
      </c>
      <c r="O38" s="441">
        <v>14</v>
      </c>
      <c r="P38" s="441">
        <v>42</v>
      </c>
      <c r="Q38" s="443">
        <f>SUM(N38:P38)</f>
        <v>1960</v>
      </c>
      <c r="R38" s="440">
        <v>98</v>
      </c>
      <c r="S38" s="441">
        <v>0</v>
      </c>
      <c r="T38" s="441">
        <v>0</v>
      </c>
      <c r="U38" s="443">
        <f>SUM(R38:T38)</f>
        <v>98</v>
      </c>
      <c r="V38" s="86"/>
      <c r="W38" s="116"/>
      <c r="X38" s="116"/>
      <c r="Y38" s="116"/>
      <c r="Z38" s="116"/>
      <c r="AA38" s="86"/>
      <c r="AB38" s="116"/>
      <c r="AC38" s="116"/>
      <c r="AD38" s="116"/>
      <c r="AE38" s="116"/>
      <c r="AF38" s="86"/>
      <c r="AG38" s="116"/>
      <c r="AH38" s="116"/>
      <c r="AI38" s="116"/>
      <c r="AJ38" s="116"/>
      <c r="AK38" s="86"/>
      <c r="AL38" s="116"/>
      <c r="AM38" s="116"/>
      <c r="AN38" s="116"/>
      <c r="AO38" s="116"/>
      <c r="AP38" s="86"/>
      <c r="AQ38" s="116"/>
      <c r="AR38" s="116"/>
      <c r="AS38" s="116"/>
      <c r="AT38" s="116"/>
      <c r="AU38" s="86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</row>
    <row r="39" spans="1:101" ht="20.100000000000001" customHeight="1" x14ac:dyDescent="0.25">
      <c r="A39" s="378">
        <v>44124</v>
      </c>
      <c r="B39" s="437">
        <f t="shared" ref="B39" si="40">SUM(F39,J39,N39,R39)</f>
        <v>3043</v>
      </c>
      <c r="C39" s="438">
        <f t="shared" ref="C39" si="41">SUM(G39,K39,O39,S39)</f>
        <v>21</v>
      </c>
      <c r="D39" s="438">
        <f t="shared" ref="D39" si="42">SUM(H39,L39,P39,T39)</f>
        <v>80</v>
      </c>
      <c r="E39" s="439">
        <f>SUM(B39:D39)</f>
        <v>3144</v>
      </c>
      <c r="F39" s="440">
        <v>831</v>
      </c>
      <c r="G39" s="441">
        <v>9</v>
      </c>
      <c r="H39" s="441">
        <v>37</v>
      </c>
      <c r="I39" s="442">
        <f>SUM(F39:H39)</f>
        <v>877</v>
      </c>
      <c r="J39" s="440">
        <v>622</v>
      </c>
      <c r="K39" s="441">
        <v>4</v>
      </c>
      <c r="L39" s="441">
        <v>12</v>
      </c>
      <c r="M39" s="442">
        <f>SUM(J39:L39)</f>
        <v>638</v>
      </c>
      <c r="N39" s="440">
        <v>1545</v>
      </c>
      <c r="O39" s="441">
        <v>7</v>
      </c>
      <c r="P39" s="441">
        <v>31</v>
      </c>
      <c r="Q39" s="443">
        <f>SUM(N39:P39)</f>
        <v>1583</v>
      </c>
      <c r="R39" s="440">
        <v>45</v>
      </c>
      <c r="S39" s="441">
        <v>1</v>
      </c>
      <c r="T39" s="441">
        <v>0</v>
      </c>
      <c r="U39" s="443">
        <f>SUM(R39:T39)</f>
        <v>46</v>
      </c>
      <c r="V39" s="86"/>
      <c r="W39" s="116"/>
      <c r="X39" s="116"/>
      <c r="Y39" s="116"/>
      <c r="Z39" s="116"/>
      <c r="AA39" s="86"/>
      <c r="AB39" s="116"/>
      <c r="AC39" s="116"/>
      <c r="AD39" s="116"/>
      <c r="AE39" s="116"/>
      <c r="AF39" s="86"/>
      <c r="AG39" s="116"/>
      <c r="AH39" s="116"/>
      <c r="AI39" s="116"/>
      <c r="AJ39" s="116"/>
      <c r="AK39" s="86"/>
      <c r="AL39" s="116"/>
      <c r="AM39" s="116"/>
      <c r="AN39" s="116"/>
      <c r="AO39" s="116"/>
      <c r="AP39" s="86"/>
      <c r="AQ39" s="116"/>
      <c r="AR39" s="116"/>
      <c r="AS39" s="116"/>
      <c r="AT39" s="116"/>
      <c r="AU39" s="86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</row>
    <row r="40" spans="1:101" ht="20.100000000000001" customHeight="1" x14ac:dyDescent="0.25">
      <c r="A40" s="378">
        <v>44125</v>
      </c>
      <c r="B40" s="437">
        <f t="shared" ref="B40" si="43">SUM(F40,J40,N40,R40)</f>
        <v>2661</v>
      </c>
      <c r="C40" s="438">
        <f t="shared" ref="C40" si="44">SUM(G40,K40,O40,S40)</f>
        <v>46</v>
      </c>
      <c r="D40" s="438">
        <f t="shared" ref="D40" si="45">SUM(H40,L40,P40,T40)</f>
        <v>79</v>
      </c>
      <c r="E40" s="439">
        <f>SUM(B40:D40)</f>
        <v>2786</v>
      </c>
      <c r="F40" s="440">
        <v>820</v>
      </c>
      <c r="G40" s="441">
        <v>27</v>
      </c>
      <c r="H40" s="441">
        <v>34</v>
      </c>
      <c r="I40" s="442">
        <f>SUM(F40:H40)</f>
        <v>881</v>
      </c>
      <c r="J40" s="440">
        <v>671</v>
      </c>
      <c r="K40" s="441">
        <v>11</v>
      </c>
      <c r="L40" s="441">
        <v>12</v>
      </c>
      <c r="M40" s="442">
        <f>SUM(J40:L40)</f>
        <v>694</v>
      </c>
      <c r="N40" s="440">
        <v>1123</v>
      </c>
      <c r="O40" s="441">
        <v>8</v>
      </c>
      <c r="P40" s="441">
        <v>32</v>
      </c>
      <c r="Q40" s="443">
        <f>SUM(N40:P40)</f>
        <v>1163</v>
      </c>
      <c r="R40" s="440">
        <v>47</v>
      </c>
      <c r="S40" s="441">
        <v>0</v>
      </c>
      <c r="T40" s="441">
        <v>1</v>
      </c>
      <c r="U40" s="443">
        <f>SUM(R40:T40)</f>
        <v>48</v>
      </c>
      <c r="V40" s="86"/>
      <c r="W40" s="116"/>
      <c r="X40" s="116"/>
      <c r="Y40" s="116"/>
      <c r="Z40" s="116"/>
      <c r="AA40" s="86"/>
      <c r="AB40" s="116"/>
      <c r="AC40" s="116"/>
      <c r="AD40" s="116"/>
      <c r="AE40" s="116"/>
      <c r="AF40" s="86"/>
      <c r="AG40" s="116"/>
      <c r="AH40" s="116"/>
      <c r="AI40" s="116"/>
      <c r="AJ40" s="116"/>
      <c r="AK40" s="86"/>
      <c r="AL40" s="116"/>
      <c r="AM40" s="116"/>
      <c r="AN40" s="116"/>
      <c r="AO40" s="116"/>
      <c r="AP40" s="86"/>
      <c r="AQ40" s="116"/>
      <c r="AR40" s="116"/>
      <c r="AS40" s="116"/>
      <c r="AT40" s="116"/>
      <c r="AU40" s="86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</row>
    <row r="41" spans="1:101" s="84" customFormat="1" ht="20.100000000000001" customHeight="1" x14ac:dyDescent="0.25">
      <c r="A41" s="378">
        <v>44126</v>
      </c>
      <c r="B41" s="437">
        <f t="shared" ref="B41:B43" si="46">SUM(F41,J41,N41,R41)</f>
        <v>2800</v>
      </c>
      <c r="C41" s="438">
        <f t="shared" ref="C41:C43" si="47">SUM(G41,K41,O41,S41)</f>
        <v>22</v>
      </c>
      <c r="D41" s="438">
        <f t="shared" ref="D41:D43" si="48">SUM(H41,L41,P41,T41)</f>
        <v>74</v>
      </c>
      <c r="E41" s="439">
        <f>SUM(B41:D41)</f>
        <v>2896</v>
      </c>
      <c r="F41" s="462">
        <v>1121</v>
      </c>
      <c r="G41" s="463">
        <v>7</v>
      </c>
      <c r="H41" s="463">
        <v>22</v>
      </c>
      <c r="I41" s="442">
        <f>SUM(F41:H41)</f>
        <v>1150</v>
      </c>
      <c r="J41" s="462">
        <v>341</v>
      </c>
      <c r="K41" s="463">
        <v>1</v>
      </c>
      <c r="L41" s="463">
        <v>14</v>
      </c>
      <c r="M41" s="442">
        <f>SUM(J41:L41)</f>
        <v>356</v>
      </c>
      <c r="N41" s="462">
        <v>1315</v>
      </c>
      <c r="O41" s="463">
        <v>14</v>
      </c>
      <c r="P41" s="463">
        <v>38</v>
      </c>
      <c r="Q41" s="443">
        <f>SUM(N41:P41)</f>
        <v>1367</v>
      </c>
      <c r="R41" s="462">
        <v>23</v>
      </c>
      <c r="S41" s="463">
        <v>0</v>
      </c>
      <c r="T41" s="463">
        <v>0</v>
      </c>
      <c r="U41" s="443">
        <f>SUM(R41:T41)</f>
        <v>23</v>
      </c>
      <c r="V41" s="86"/>
      <c r="W41" s="116"/>
      <c r="X41" s="116"/>
      <c r="Y41" s="116"/>
      <c r="Z41" s="116"/>
      <c r="AA41" s="86"/>
      <c r="AB41" s="116"/>
      <c r="AC41" s="116"/>
      <c r="AD41" s="116"/>
      <c r="AE41" s="116"/>
      <c r="AF41" s="86"/>
      <c r="AG41" s="116"/>
      <c r="AH41" s="116"/>
      <c r="AI41" s="116"/>
      <c r="AJ41" s="116"/>
      <c r="AK41" s="86"/>
      <c r="AL41" s="116"/>
      <c r="AM41" s="116"/>
      <c r="AN41" s="116"/>
      <c r="AO41" s="116"/>
      <c r="AP41" s="86"/>
      <c r="AQ41" s="116"/>
      <c r="AR41" s="116"/>
      <c r="AS41" s="116"/>
      <c r="AT41" s="116"/>
      <c r="AU41" s="86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  <c r="BZ41" s="93"/>
      <c r="CA41" s="93"/>
      <c r="CB41" s="93"/>
      <c r="CC41" s="93"/>
      <c r="CD41" s="93"/>
      <c r="CE41" s="93"/>
      <c r="CF41" s="93"/>
      <c r="CG41" s="93"/>
      <c r="CH41" s="93"/>
      <c r="CI41" s="93"/>
      <c r="CJ41" s="93"/>
      <c r="CK41" s="93"/>
      <c r="CL41" s="93"/>
      <c r="CM41" s="93"/>
      <c r="CN41" s="93"/>
      <c r="CO41" s="93"/>
      <c r="CP41" s="93"/>
      <c r="CQ41" s="93"/>
      <c r="CR41" s="93"/>
      <c r="CS41" s="93"/>
      <c r="CT41" s="93"/>
      <c r="CU41" s="93"/>
      <c r="CV41" s="93"/>
      <c r="CW41" s="93"/>
    </row>
    <row r="42" spans="1:101" ht="20.100000000000001" customHeight="1" x14ac:dyDescent="0.25">
      <c r="A42" s="378">
        <v>44127</v>
      </c>
      <c r="B42" s="437">
        <f t="shared" si="46"/>
        <v>2510</v>
      </c>
      <c r="C42" s="438">
        <f t="shared" si="47"/>
        <v>16</v>
      </c>
      <c r="D42" s="438">
        <f t="shared" si="48"/>
        <v>58</v>
      </c>
      <c r="E42" s="439">
        <f>SUM(B42:D42)</f>
        <v>2584</v>
      </c>
      <c r="F42" s="462">
        <v>859</v>
      </c>
      <c r="G42" s="463">
        <v>5</v>
      </c>
      <c r="H42" s="463">
        <f>10+11</f>
        <v>21</v>
      </c>
      <c r="I42" s="442">
        <f>SUM(F42:H42)</f>
        <v>885</v>
      </c>
      <c r="J42" s="462">
        <v>431</v>
      </c>
      <c r="K42" s="463">
        <v>3</v>
      </c>
      <c r="L42" s="463">
        <f>5+5</f>
        <v>10</v>
      </c>
      <c r="M42" s="442">
        <f>SUM(J42:L42)</f>
        <v>444</v>
      </c>
      <c r="N42" s="462">
        <v>1178</v>
      </c>
      <c r="O42" s="463">
        <v>7</v>
      </c>
      <c r="P42" s="463">
        <f>16+10</f>
        <v>26</v>
      </c>
      <c r="Q42" s="443">
        <f>SUM(N42:P42)</f>
        <v>1211</v>
      </c>
      <c r="R42" s="462">
        <v>42</v>
      </c>
      <c r="S42" s="463">
        <v>1</v>
      </c>
      <c r="T42" s="463">
        <v>1</v>
      </c>
      <c r="U42" s="443">
        <f>SUM(R42:T42)</f>
        <v>44</v>
      </c>
      <c r="V42" s="86"/>
      <c r="W42" s="116"/>
      <c r="X42" s="116"/>
      <c r="Y42" s="116"/>
      <c r="Z42" s="116"/>
      <c r="AA42" s="86"/>
      <c r="AB42" s="116"/>
      <c r="AC42" s="116"/>
      <c r="AD42" s="116"/>
      <c r="AE42" s="116"/>
      <c r="AF42" s="86"/>
      <c r="AG42" s="116"/>
      <c r="AH42" s="116"/>
      <c r="AI42" s="116"/>
      <c r="AJ42" s="116"/>
      <c r="AK42" s="86"/>
      <c r="AL42" s="116"/>
      <c r="AM42" s="116"/>
      <c r="AN42" s="116"/>
      <c r="AO42" s="116"/>
      <c r="AP42" s="86"/>
      <c r="AQ42" s="116"/>
      <c r="AR42" s="116"/>
      <c r="AS42" s="116"/>
      <c r="AT42" s="116"/>
      <c r="AU42" s="86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</row>
    <row r="43" spans="1:101" ht="20.100000000000001" customHeight="1" x14ac:dyDescent="0.25">
      <c r="A43" s="378">
        <v>44128</v>
      </c>
      <c r="B43" s="437">
        <f t="shared" si="46"/>
        <v>2219</v>
      </c>
      <c r="C43" s="438">
        <f t="shared" si="47"/>
        <v>27</v>
      </c>
      <c r="D43" s="438">
        <f t="shared" si="48"/>
        <v>27</v>
      </c>
      <c r="E43" s="439">
        <f t="shared" ref="E43" si="49">SUM(B43:D43)</f>
        <v>2273</v>
      </c>
      <c r="F43" s="440">
        <v>835</v>
      </c>
      <c r="G43" s="441">
        <v>10</v>
      </c>
      <c r="H43" s="441">
        <v>8</v>
      </c>
      <c r="I43" s="442">
        <f t="shared" ref="I43" si="50">SUM(F43:H43)</f>
        <v>853</v>
      </c>
      <c r="J43" s="440">
        <v>330</v>
      </c>
      <c r="K43" s="441">
        <v>2</v>
      </c>
      <c r="L43" s="441">
        <v>5</v>
      </c>
      <c r="M43" s="442">
        <f t="shared" ref="M43" si="51">SUM(J43:L43)</f>
        <v>337</v>
      </c>
      <c r="N43" s="440">
        <v>1007</v>
      </c>
      <c r="O43" s="441">
        <v>14</v>
      </c>
      <c r="P43" s="441">
        <v>14</v>
      </c>
      <c r="Q43" s="464">
        <f t="shared" ref="Q43" si="52">SUM(N43:P43)</f>
        <v>1035</v>
      </c>
      <c r="R43" s="440">
        <v>47</v>
      </c>
      <c r="S43" s="441">
        <v>1</v>
      </c>
      <c r="T43" s="441">
        <v>0</v>
      </c>
      <c r="U43" s="443">
        <f t="shared" ref="U43" si="53">SUM(R43:T43)</f>
        <v>48</v>
      </c>
      <c r="V43" s="86"/>
      <c r="W43" s="116"/>
      <c r="X43" s="116"/>
      <c r="Y43" s="116"/>
      <c r="Z43" s="116"/>
      <c r="AA43" s="86"/>
      <c r="AB43" s="116"/>
      <c r="AC43" s="116"/>
      <c r="AD43" s="116"/>
      <c r="AE43" s="116"/>
      <c r="AF43" s="86"/>
      <c r="AG43" s="116"/>
      <c r="AH43" s="116"/>
      <c r="AI43" s="116"/>
      <c r="AJ43" s="116"/>
      <c r="AK43" s="86"/>
      <c r="AL43" s="116"/>
      <c r="AM43" s="116"/>
      <c r="AN43" s="116"/>
      <c r="AO43" s="116"/>
      <c r="AP43" s="86"/>
      <c r="AQ43" s="116"/>
      <c r="AR43" s="116"/>
      <c r="AS43" s="116"/>
      <c r="AT43" s="116"/>
      <c r="AU43" s="86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</row>
    <row r="44" spans="1:101" ht="20.100000000000001" customHeight="1" x14ac:dyDescent="0.25">
      <c r="A44" s="378">
        <v>44129</v>
      </c>
      <c r="B44" s="465"/>
      <c r="C44" s="455"/>
      <c r="D44" s="455"/>
      <c r="E44" s="433"/>
      <c r="F44" s="452"/>
      <c r="G44" s="453"/>
      <c r="H44" s="453"/>
      <c r="I44" s="451"/>
      <c r="J44" s="452"/>
      <c r="K44" s="453"/>
      <c r="L44" s="453"/>
      <c r="M44" s="451"/>
      <c r="N44" s="452"/>
      <c r="O44" s="453"/>
      <c r="P44" s="453"/>
      <c r="Q44" s="454"/>
      <c r="R44" s="452"/>
      <c r="S44" s="453"/>
      <c r="T44" s="453"/>
      <c r="U44" s="454"/>
      <c r="V44" s="86"/>
      <c r="W44" s="116"/>
      <c r="X44" s="116"/>
      <c r="Y44" s="116"/>
      <c r="Z44" s="116"/>
      <c r="AA44" s="86"/>
      <c r="AB44" s="116"/>
      <c r="AC44" s="116"/>
      <c r="AD44" s="116"/>
      <c r="AE44" s="116"/>
      <c r="AF44" s="86"/>
      <c r="AG44" s="116"/>
      <c r="AH44" s="116"/>
      <c r="AI44" s="116"/>
      <c r="AJ44" s="116"/>
      <c r="AK44" s="86"/>
      <c r="AL44" s="116"/>
      <c r="AM44" s="116"/>
      <c r="AN44" s="116"/>
      <c r="AO44" s="116"/>
      <c r="AP44" s="86"/>
      <c r="AQ44" s="116"/>
      <c r="AR44" s="116"/>
      <c r="AS44" s="116"/>
      <c r="AT44" s="116"/>
      <c r="AU44" s="86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</row>
    <row r="45" spans="1:101" s="72" customFormat="1" ht="20.100000000000001" customHeight="1" x14ac:dyDescent="0.25">
      <c r="A45" s="378">
        <v>44130</v>
      </c>
      <c r="B45" s="437">
        <f t="shared" ref="B45:B49" si="54">SUM(F45,J45,N45,R45)</f>
        <v>1270</v>
      </c>
      <c r="C45" s="438">
        <f t="shared" ref="C45" si="55">SUM(G45,K45,O45,S45)</f>
        <v>7</v>
      </c>
      <c r="D45" s="438">
        <f t="shared" ref="D45" si="56">SUM(H45,L45,P45,T45)</f>
        <v>16</v>
      </c>
      <c r="E45" s="439">
        <f t="shared" ref="E45" si="57">SUM(B45:D45)</f>
        <v>1293</v>
      </c>
      <c r="F45" s="440">
        <v>327</v>
      </c>
      <c r="G45" s="441">
        <v>3</v>
      </c>
      <c r="H45" s="441">
        <v>6</v>
      </c>
      <c r="I45" s="442">
        <f t="shared" ref="I45:I50" si="58">SUM(F45:H45)</f>
        <v>336</v>
      </c>
      <c r="J45" s="440">
        <v>332</v>
      </c>
      <c r="K45" s="441">
        <v>1</v>
      </c>
      <c r="L45" s="441">
        <v>6</v>
      </c>
      <c r="M45" s="442">
        <f t="shared" ref="M45:M50" si="59">SUM(J45:L45)</f>
        <v>339</v>
      </c>
      <c r="N45" s="440">
        <v>594</v>
      </c>
      <c r="O45" s="441">
        <v>3</v>
      </c>
      <c r="P45" s="441">
        <v>3</v>
      </c>
      <c r="Q45" s="464">
        <f t="shared" ref="Q45:Q50" si="60">SUM(N45:P45)</f>
        <v>600</v>
      </c>
      <c r="R45" s="440">
        <v>17</v>
      </c>
      <c r="S45" s="441">
        <v>0</v>
      </c>
      <c r="T45" s="441">
        <v>1</v>
      </c>
      <c r="U45" s="443">
        <f t="shared" ref="U45:U50" si="61">SUM(R45:T45)</f>
        <v>18</v>
      </c>
      <c r="V45" s="86"/>
      <c r="W45" s="116"/>
      <c r="X45" s="116"/>
      <c r="Y45" s="116"/>
      <c r="Z45" s="116"/>
      <c r="AA45" s="86"/>
      <c r="AB45" s="116"/>
      <c r="AC45" s="116"/>
      <c r="AD45" s="116"/>
      <c r="AE45" s="116"/>
      <c r="AF45" s="86"/>
      <c r="AG45" s="116"/>
      <c r="AH45" s="116"/>
      <c r="AI45" s="116"/>
      <c r="AJ45" s="116"/>
      <c r="AK45" s="86"/>
      <c r="AL45" s="116"/>
      <c r="AM45" s="116"/>
      <c r="AN45" s="116"/>
      <c r="AO45" s="116"/>
      <c r="AP45" s="86"/>
      <c r="AQ45" s="116"/>
      <c r="AR45" s="116"/>
      <c r="AS45" s="116"/>
      <c r="AT45" s="116"/>
      <c r="AU45" s="86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75"/>
      <c r="CJ45" s="75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75"/>
    </row>
    <row r="46" spans="1:101" s="72" customFormat="1" ht="20.100000000000001" customHeight="1" x14ac:dyDescent="0.25">
      <c r="A46" s="378">
        <v>44131</v>
      </c>
      <c r="B46" s="437">
        <f t="shared" si="54"/>
        <v>27</v>
      </c>
      <c r="C46" s="438">
        <f t="shared" ref="C46:C49" si="62">SUM(G46,K46,O46,S46)</f>
        <v>0</v>
      </c>
      <c r="D46" s="438">
        <f t="shared" ref="D46:D49" si="63">SUM(H46,L46,P46,T46)</f>
        <v>0</v>
      </c>
      <c r="E46" s="439">
        <f t="shared" ref="E46:E49" si="64">SUM(B46:D46)</f>
        <v>27</v>
      </c>
      <c r="F46" s="440">
        <v>7</v>
      </c>
      <c r="G46" s="441">
        <v>0</v>
      </c>
      <c r="H46" s="441">
        <v>0</v>
      </c>
      <c r="I46" s="442">
        <f t="shared" si="58"/>
        <v>7</v>
      </c>
      <c r="J46" s="441">
        <v>6</v>
      </c>
      <c r="K46" s="441">
        <v>0</v>
      </c>
      <c r="L46" s="441">
        <v>0</v>
      </c>
      <c r="M46" s="442">
        <f t="shared" si="59"/>
        <v>6</v>
      </c>
      <c r="N46" s="441">
        <v>14</v>
      </c>
      <c r="O46" s="441">
        <v>0</v>
      </c>
      <c r="P46" s="441">
        <v>0</v>
      </c>
      <c r="Q46" s="466">
        <f t="shared" si="60"/>
        <v>14</v>
      </c>
      <c r="R46" s="440">
        <v>0</v>
      </c>
      <c r="S46" s="441">
        <v>0</v>
      </c>
      <c r="T46" s="441">
        <v>0</v>
      </c>
      <c r="U46" s="443">
        <f t="shared" si="61"/>
        <v>0</v>
      </c>
      <c r="V46" s="86"/>
      <c r="W46" s="116"/>
      <c r="X46" s="116"/>
      <c r="Y46" s="116"/>
      <c r="Z46" s="116"/>
      <c r="AA46" s="86"/>
      <c r="AB46" s="116"/>
      <c r="AC46" s="116"/>
      <c r="AD46" s="116"/>
      <c r="AE46" s="116"/>
      <c r="AF46" s="86"/>
      <c r="AG46" s="116"/>
      <c r="AH46" s="116"/>
      <c r="AI46" s="116"/>
      <c r="AJ46" s="116"/>
      <c r="AK46" s="86"/>
      <c r="AL46" s="116"/>
      <c r="AM46" s="116"/>
      <c r="AN46" s="116"/>
      <c r="AO46" s="116"/>
      <c r="AP46" s="86"/>
      <c r="AQ46" s="116"/>
      <c r="AR46" s="116"/>
      <c r="AS46" s="116"/>
      <c r="AT46" s="116"/>
      <c r="AU46" s="86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  <c r="BW46" s="75"/>
      <c r="BX46" s="75"/>
      <c r="BY46" s="75"/>
      <c r="BZ46" s="75"/>
      <c r="CA46" s="75"/>
      <c r="CB46" s="75"/>
      <c r="CC46" s="75"/>
      <c r="CD46" s="75"/>
      <c r="CE46" s="75"/>
      <c r="CF46" s="75"/>
      <c r="CG46" s="75"/>
      <c r="CH46" s="75"/>
      <c r="CI46" s="75"/>
      <c r="CJ46" s="75"/>
      <c r="CK46" s="75"/>
      <c r="CL46" s="75"/>
      <c r="CM46" s="75"/>
      <c r="CN46" s="75"/>
      <c r="CO46" s="75"/>
      <c r="CP46" s="75"/>
      <c r="CQ46" s="75"/>
      <c r="CR46" s="75"/>
      <c r="CS46" s="75"/>
      <c r="CT46" s="75"/>
      <c r="CU46" s="75"/>
      <c r="CV46" s="75"/>
      <c r="CW46" s="75"/>
    </row>
    <row r="47" spans="1:101" s="72" customFormat="1" ht="20.100000000000001" customHeight="1" x14ac:dyDescent="0.25">
      <c r="A47" s="378">
        <v>44132</v>
      </c>
      <c r="B47" s="437">
        <f t="shared" si="54"/>
        <v>484</v>
      </c>
      <c r="C47" s="438">
        <f t="shared" si="62"/>
        <v>6</v>
      </c>
      <c r="D47" s="438">
        <f t="shared" si="63"/>
        <v>0</v>
      </c>
      <c r="E47" s="439">
        <f t="shared" si="64"/>
        <v>490</v>
      </c>
      <c r="F47" s="440">
        <v>148</v>
      </c>
      <c r="G47" s="441">
        <v>3</v>
      </c>
      <c r="H47" s="441">
        <v>0</v>
      </c>
      <c r="I47" s="442">
        <f t="shared" si="58"/>
        <v>151</v>
      </c>
      <c r="J47" s="441">
        <v>107</v>
      </c>
      <c r="K47" s="441">
        <v>2</v>
      </c>
      <c r="L47" s="441">
        <v>0</v>
      </c>
      <c r="M47" s="442">
        <f t="shared" si="59"/>
        <v>109</v>
      </c>
      <c r="N47" s="441">
        <v>224</v>
      </c>
      <c r="O47" s="441">
        <v>1</v>
      </c>
      <c r="P47" s="441">
        <v>0</v>
      </c>
      <c r="Q47" s="467">
        <f t="shared" si="60"/>
        <v>225</v>
      </c>
      <c r="R47" s="440">
        <v>5</v>
      </c>
      <c r="S47" s="441">
        <v>0</v>
      </c>
      <c r="T47" s="441">
        <v>0</v>
      </c>
      <c r="U47" s="443">
        <f t="shared" si="61"/>
        <v>5</v>
      </c>
      <c r="V47" s="86"/>
      <c r="W47" s="116"/>
      <c r="X47" s="116"/>
      <c r="Y47" s="116"/>
      <c r="Z47" s="116"/>
      <c r="AA47" s="86"/>
      <c r="AB47" s="116"/>
      <c r="AC47" s="116"/>
      <c r="AD47" s="116"/>
      <c r="AE47" s="116"/>
      <c r="AF47" s="86"/>
      <c r="AG47" s="116"/>
      <c r="AH47" s="116"/>
      <c r="AI47" s="116"/>
      <c r="AJ47" s="116"/>
      <c r="AK47" s="86"/>
      <c r="AL47" s="116"/>
      <c r="AM47" s="116"/>
      <c r="AN47" s="116"/>
      <c r="AO47" s="116"/>
      <c r="AP47" s="86"/>
      <c r="AQ47" s="116"/>
      <c r="AR47" s="116"/>
      <c r="AS47" s="116"/>
      <c r="AT47" s="116"/>
      <c r="AU47" s="86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5"/>
      <c r="CH47" s="75"/>
      <c r="CI47" s="75"/>
      <c r="CJ47" s="75"/>
      <c r="CK47" s="75"/>
      <c r="CL47" s="75"/>
      <c r="CM47" s="75"/>
      <c r="CN47" s="75"/>
      <c r="CO47" s="75"/>
      <c r="CP47" s="75"/>
      <c r="CQ47" s="75"/>
      <c r="CR47" s="75"/>
      <c r="CS47" s="75"/>
      <c r="CT47" s="75"/>
      <c r="CU47" s="75"/>
      <c r="CV47" s="75"/>
      <c r="CW47" s="75"/>
    </row>
    <row r="48" spans="1:101" s="72" customFormat="1" ht="20.100000000000001" customHeight="1" x14ac:dyDescent="0.25">
      <c r="A48" s="378">
        <v>44133</v>
      </c>
      <c r="B48" s="437">
        <f t="shared" si="54"/>
        <v>82</v>
      </c>
      <c r="C48" s="438">
        <f t="shared" si="62"/>
        <v>3</v>
      </c>
      <c r="D48" s="438">
        <f t="shared" si="63"/>
        <v>0</v>
      </c>
      <c r="E48" s="439">
        <f t="shared" si="64"/>
        <v>85</v>
      </c>
      <c r="F48" s="440">
        <v>27</v>
      </c>
      <c r="G48" s="441">
        <v>0</v>
      </c>
      <c r="H48" s="441">
        <v>0</v>
      </c>
      <c r="I48" s="442">
        <f t="shared" si="58"/>
        <v>27</v>
      </c>
      <c r="J48" s="441">
        <v>16</v>
      </c>
      <c r="K48" s="441">
        <v>1</v>
      </c>
      <c r="L48" s="441">
        <v>0</v>
      </c>
      <c r="M48" s="442">
        <f t="shared" si="59"/>
        <v>17</v>
      </c>
      <c r="N48" s="441">
        <v>39</v>
      </c>
      <c r="O48" s="441">
        <v>2</v>
      </c>
      <c r="P48" s="441">
        <v>0</v>
      </c>
      <c r="Q48" s="467">
        <f t="shared" si="60"/>
        <v>41</v>
      </c>
      <c r="R48" s="440">
        <v>0</v>
      </c>
      <c r="S48" s="441">
        <v>0</v>
      </c>
      <c r="T48" s="441">
        <v>0</v>
      </c>
      <c r="U48" s="443">
        <f t="shared" si="61"/>
        <v>0</v>
      </c>
      <c r="V48" s="86"/>
      <c r="W48" s="116"/>
      <c r="X48" s="116"/>
      <c r="Y48" s="116"/>
      <c r="Z48" s="116"/>
      <c r="AA48" s="86"/>
      <c r="AB48" s="116"/>
      <c r="AC48" s="116"/>
      <c r="AD48" s="116"/>
      <c r="AE48" s="116"/>
      <c r="AF48" s="86"/>
      <c r="AG48" s="116"/>
      <c r="AH48" s="116"/>
      <c r="AI48" s="116"/>
      <c r="AJ48" s="116"/>
      <c r="AK48" s="86"/>
      <c r="AL48" s="116"/>
      <c r="AM48" s="116"/>
      <c r="AN48" s="116"/>
      <c r="AO48" s="116"/>
      <c r="AP48" s="86"/>
      <c r="AQ48" s="116"/>
      <c r="AR48" s="116"/>
      <c r="AS48" s="116"/>
      <c r="AT48" s="116"/>
      <c r="AU48" s="86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  <c r="BW48" s="75"/>
      <c r="BX48" s="75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75"/>
      <c r="CJ48" s="75"/>
      <c r="CK48" s="75"/>
      <c r="CL48" s="75"/>
      <c r="CM48" s="75"/>
      <c r="CN48" s="75"/>
      <c r="CO48" s="75"/>
      <c r="CP48" s="75"/>
      <c r="CQ48" s="75"/>
      <c r="CR48" s="75"/>
      <c r="CS48" s="75"/>
      <c r="CT48" s="75"/>
      <c r="CU48" s="75"/>
      <c r="CV48" s="75"/>
      <c r="CW48" s="75"/>
    </row>
    <row r="49" spans="1:101" s="72" customFormat="1" ht="20.100000000000001" customHeight="1" x14ac:dyDescent="0.25">
      <c r="A49" s="378">
        <v>44134</v>
      </c>
      <c r="B49" s="437">
        <f t="shared" si="54"/>
        <v>34</v>
      </c>
      <c r="C49" s="438">
        <f t="shared" si="62"/>
        <v>0</v>
      </c>
      <c r="D49" s="438">
        <f t="shared" si="63"/>
        <v>0</v>
      </c>
      <c r="E49" s="439">
        <f t="shared" si="64"/>
        <v>34</v>
      </c>
      <c r="F49" s="440">
        <v>11</v>
      </c>
      <c r="G49" s="441">
        <v>0</v>
      </c>
      <c r="H49" s="441">
        <v>0</v>
      </c>
      <c r="I49" s="442">
        <f t="shared" si="58"/>
        <v>11</v>
      </c>
      <c r="J49" s="441">
        <v>10</v>
      </c>
      <c r="K49" s="441">
        <v>0</v>
      </c>
      <c r="L49" s="441">
        <v>0</v>
      </c>
      <c r="M49" s="442">
        <f t="shared" si="59"/>
        <v>10</v>
      </c>
      <c r="N49" s="441">
        <v>12</v>
      </c>
      <c r="O49" s="441">
        <v>0</v>
      </c>
      <c r="P49" s="441">
        <v>0</v>
      </c>
      <c r="Q49" s="467">
        <f t="shared" si="60"/>
        <v>12</v>
      </c>
      <c r="R49" s="440">
        <v>1</v>
      </c>
      <c r="S49" s="441">
        <v>0</v>
      </c>
      <c r="T49" s="441">
        <v>0</v>
      </c>
      <c r="U49" s="443">
        <f t="shared" si="61"/>
        <v>1</v>
      </c>
      <c r="V49" s="86"/>
      <c r="W49" s="116"/>
      <c r="X49" s="116"/>
      <c r="Y49" s="116"/>
      <c r="Z49" s="116"/>
      <c r="AA49" s="86"/>
      <c r="AB49" s="116"/>
      <c r="AC49" s="116"/>
      <c r="AD49" s="116"/>
      <c r="AE49" s="116"/>
      <c r="AF49" s="86"/>
      <c r="AG49" s="116"/>
      <c r="AH49" s="116"/>
      <c r="AI49" s="116"/>
      <c r="AJ49" s="116"/>
      <c r="AK49" s="86"/>
      <c r="AL49" s="116"/>
      <c r="AM49" s="116"/>
      <c r="AN49" s="116"/>
      <c r="AO49" s="116"/>
      <c r="AP49" s="86"/>
      <c r="AQ49" s="116"/>
      <c r="AR49" s="116"/>
      <c r="AS49" s="116"/>
      <c r="AT49" s="116"/>
      <c r="AU49" s="86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75"/>
      <c r="CJ49" s="75"/>
      <c r="CK49" s="75"/>
      <c r="CL49" s="75"/>
      <c r="CM49" s="75"/>
      <c r="CN49" s="75"/>
      <c r="CO49" s="75"/>
      <c r="CP49" s="75"/>
      <c r="CQ49" s="75"/>
      <c r="CR49" s="75"/>
      <c r="CS49" s="75"/>
      <c r="CT49" s="75"/>
      <c r="CU49" s="75"/>
      <c r="CV49" s="75"/>
      <c r="CW49" s="75"/>
    </row>
    <row r="50" spans="1:101" s="72" customFormat="1" ht="20.100000000000001" customHeight="1" x14ac:dyDescent="0.25">
      <c r="A50" s="378">
        <v>44135</v>
      </c>
      <c r="B50" s="437">
        <v>0</v>
      </c>
      <c r="C50" s="438">
        <v>0</v>
      </c>
      <c r="D50" s="438">
        <v>0</v>
      </c>
      <c r="E50" s="439">
        <v>0</v>
      </c>
      <c r="F50" s="440">
        <v>0</v>
      </c>
      <c r="G50" s="441">
        <v>0</v>
      </c>
      <c r="H50" s="441">
        <v>0</v>
      </c>
      <c r="I50" s="442">
        <f t="shared" si="58"/>
        <v>0</v>
      </c>
      <c r="J50" s="441">
        <v>0</v>
      </c>
      <c r="K50" s="441">
        <v>0</v>
      </c>
      <c r="L50" s="441">
        <v>0</v>
      </c>
      <c r="M50" s="442">
        <f t="shared" si="59"/>
        <v>0</v>
      </c>
      <c r="N50" s="441">
        <v>0</v>
      </c>
      <c r="O50" s="441">
        <v>0</v>
      </c>
      <c r="P50" s="441">
        <v>0</v>
      </c>
      <c r="Q50" s="467">
        <f t="shared" si="60"/>
        <v>0</v>
      </c>
      <c r="R50" s="440">
        <v>0</v>
      </c>
      <c r="S50" s="441">
        <v>0</v>
      </c>
      <c r="T50" s="441">
        <v>0</v>
      </c>
      <c r="U50" s="443">
        <f t="shared" si="61"/>
        <v>0</v>
      </c>
      <c r="V50" s="86"/>
      <c r="W50" s="116"/>
      <c r="X50" s="116"/>
      <c r="Y50" s="116"/>
      <c r="Z50" s="116"/>
      <c r="AA50" s="86"/>
      <c r="AB50" s="116"/>
      <c r="AC50" s="116"/>
      <c r="AD50" s="116"/>
      <c r="AE50" s="116"/>
      <c r="AF50" s="86"/>
      <c r="AG50" s="116"/>
      <c r="AH50" s="116"/>
      <c r="AI50" s="116"/>
      <c r="AJ50" s="116"/>
      <c r="AK50" s="86"/>
      <c r="AL50" s="116"/>
      <c r="AM50" s="116"/>
      <c r="AN50" s="116"/>
      <c r="AO50" s="116"/>
      <c r="AP50" s="86"/>
      <c r="AQ50" s="116"/>
      <c r="AR50" s="116"/>
      <c r="AS50" s="116"/>
      <c r="AT50" s="116"/>
      <c r="AU50" s="86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75"/>
      <c r="CJ50" s="75"/>
      <c r="CK50" s="75"/>
      <c r="CL50" s="75"/>
      <c r="CM50" s="75"/>
      <c r="CN50" s="75"/>
      <c r="CO50" s="75"/>
      <c r="CP50" s="75"/>
      <c r="CQ50" s="75"/>
      <c r="CR50" s="75"/>
      <c r="CS50" s="75"/>
      <c r="CT50" s="75"/>
      <c r="CU50" s="75"/>
      <c r="CV50" s="75"/>
      <c r="CW50" s="75"/>
    </row>
    <row r="51" spans="1:101" s="72" customFormat="1" ht="20.100000000000001" customHeight="1" x14ac:dyDescent="0.25">
      <c r="A51" s="378">
        <v>44136</v>
      </c>
      <c r="B51" s="465"/>
      <c r="C51" s="455"/>
      <c r="D51" s="455"/>
      <c r="E51" s="433"/>
      <c r="F51" s="434"/>
      <c r="G51" s="435"/>
      <c r="H51" s="435"/>
      <c r="I51" s="433"/>
      <c r="J51" s="435"/>
      <c r="K51" s="435"/>
      <c r="L51" s="435"/>
      <c r="M51" s="433"/>
      <c r="N51" s="435"/>
      <c r="O51" s="435"/>
      <c r="P51" s="435"/>
      <c r="Q51" s="444"/>
      <c r="R51" s="447"/>
      <c r="S51" s="435"/>
      <c r="T51" s="435"/>
      <c r="U51" s="449"/>
      <c r="V51" s="86"/>
      <c r="W51" s="116"/>
      <c r="X51" s="116"/>
      <c r="Y51" s="116"/>
      <c r="Z51" s="116"/>
      <c r="AA51" s="86"/>
      <c r="AB51" s="116"/>
      <c r="AC51" s="116"/>
      <c r="AD51" s="116"/>
      <c r="AE51" s="116"/>
      <c r="AF51" s="86"/>
      <c r="AG51" s="116"/>
      <c r="AH51" s="116"/>
      <c r="AI51" s="116"/>
      <c r="AJ51" s="116"/>
      <c r="AK51" s="86"/>
      <c r="AL51" s="116"/>
      <c r="AM51" s="116"/>
      <c r="AN51" s="116"/>
      <c r="AO51" s="116"/>
      <c r="AP51" s="86"/>
      <c r="AQ51" s="116"/>
      <c r="AR51" s="116"/>
      <c r="AS51" s="116"/>
      <c r="AT51" s="116"/>
      <c r="AU51" s="86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75"/>
      <c r="CJ51" s="75"/>
      <c r="CK51" s="75"/>
      <c r="CL51" s="75"/>
      <c r="CM51" s="75"/>
      <c r="CN51" s="75"/>
      <c r="CO51" s="75"/>
      <c r="CP51" s="75"/>
      <c r="CQ51" s="75"/>
      <c r="CR51" s="75"/>
      <c r="CS51" s="75"/>
      <c r="CT51" s="75"/>
      <c r="CU51" s="75"/>
      <c r="CV51" s="75"/>
      <c r="CW51" s="75"/>
    </row>
    <row r="52" spans="1:101" s="72" customFormat="1" ht="20.100000000000001" customHeight="1" thickBot="1" x14ac:dyDescent="0.3">
      <c r="A52" s="378">
        <v>44137</v>
      </c>
      <c r="B52" s="437">
        <f>SUM(F52,J52,N52,R52)</f>
        <v>71</v>
      </c>
      <c r="C52" s="438">
        <v>0</v>
      </c>
      <c r="D52" s="438">
        <v>0</v>
      </c>
      <c r="E52" s="439">
        <f>SUM(B52:D52)</f>
        <v>71</v>
      </c>
      <c r="F52" s="440">
        <v>33</v>
      </c>
      <c r="G52" s="441">
        <v>0</v>
      </c>
      <c r="H52" s="441">
        <v>0</v>
      </c>
      <c r="I52" s="442">
        <v>0</v>
      </c>
      <c r="J52" s="441">
        <v>9</v>
      </c>
      <c r="K52" s="441">
        <v>0</v>
      </c>
      <c r="L52" s="441">
        <v>0</v>
      </c>
      <c r="M52" s="442">
        <v>0</v>
      </c>
      <c r="N52" s="441">
        <v>29</v>
      </c>
      <c r="O52" s="441">
        <v>0</v>
      </c>
      <c r="P52" s="441">
        <v>0</v>
      </c>
      <c r="Q52" s="851">
        <v>0</v>
      </c>
      <c r="R52" s="786">
        <v>0</v>
      </c>
      <c r="S52" s="441">
        <v>0</v>
      </c>
      <c r="T52" s="441">
        <v>0</v>
      </c>
      <c r="U52" s="850">
        <v>0</v>
      </c>
      <c r="V52" s="86"/>
      <c r="W52" s="116"/>
      <c r="X52" s="116"/>
      <c r="Y52" s="116"/>
      <c r="Z52" s="116"/>
      <c r="AA52" s="86"/>
      <c r="AB52" s="116"/>
      <c r="AC52" s="116"/>
      <c r="AD52" s="116"/>
      <c r="AE52" s="116"/>
      <c r="AF52" s="86"/>
      <c r="AG52" s="116"/>
      <c r="AH52" s="116"/>
      <c r="AI52" s="116"/>
      <c r="AJ52" s="116"/>
      <c r="AK52" s="86"/>
      <c r="AL52" s="116"/>
      <c r="AM52" s="116"/>
      <c r="AN52" s="116"/>
      <c r="AO52" s="116"/>
      <c r="AP52" s="86"/>
      <c r="AQ52" s="116"/>
      <c r="AR52" s="116"/>
      <c r="AS52" s="116"/>
      <c r="AT52" s="116"/>
      <c r="AU52" s="86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75"/>
      <c r="CJ52" s="75"/>
      <c r="CK52" s="75"/>
      <c r="CL52" s="75"/>
      <c r="CM52" s="75"/>
      <c r="CN52" s="75"/>
      <c r="CO52" s="75"/>
      <c r="CP52" s="75"/>
      <c r="CQ52" s="75"/>
      <c r="CR52" s="75"/>
      <c r="CS52" s="75"/>
      <c r="CT52" s="75"/>
      <c r="CU52" s="75"/>
      <c r="CV52" s="75"/>
      <c r="CW52" s="75"/>
    </row>
    <row r="53" spans="1:101" s="77" customFormat="1" ht="19.5" customHeight="1" x14ac:dyDescent="0.25">
      <c r="A53" s="379" t="s">
        <v>5</v>
      </c>
      <c r="B53" s="134">
        <f t="shared" ref="B53:U53" si="65">SUM(B7:B52)</f>
        <v>257502</v>
      </c>
      <c r="C53" s="135">
        <f t="shared" si="65"/>
        <v>3069</v>
      </c>
      <c r="D53" s="135">
        <f t="shared" si="65"/>
        <v>8411</v>
      </c>
      <c r="E53" s="136">
        <f t="shared" si="65"/>
        <v>268982</v>
      </c>
      <c r="F53" s="134">
        <f t="shared" si="65"/>
        <v>78130</v>
      </c>
      <c r="G53" s="135">
        <f t="shared" si="65"/>
        <v>1076</v>
      </c>
      <c r="H53" s="135">
        <f t="shared" si="65"/>
        <v>2835</v>
      </c>
      <c r="I53" s="137">
        <f t="shared" si="65"/>
        <v>82008</v>
      </c>
      <c r="J53" s="138">
        <f t="shared" si="65"/>
        <v>50055</v>
      </c>
      <c r="K53" s="135">
        <f t="shared" si="65"/>
        <v>498</v>
      </c>
      <c r="L53" s="135">
        <f t="shared" si="65"/>
        <v>1391</v>
      </c>
      <c r="M53" s="137">
        <f t="shared" si="65"/>
        <v>51935</v>
      </c>
      <c r="N53" s="138">
        <f t="shared" si="65"/>
        <v>125368</v>
      </c>
      <c r="O53" s="135">
        <f t="shared" si="65"/>
        <v>1478</v>
      </c>
      <c r="P53" s="135">
        <f t="shared" si="65"/>
        <v>4073</v>
      </c>
      <c r="Q53" s="415">
        <f t="shared" si="65"/>
        <v>130890</v>
      </c>
      <c r="R53" s="138">
        <f t="shared" si="65"/>
        <v>3949</v>
      </c>
      <c r="S53" s="135">
        <f t="shared" si="65"/>
        <v>17</v>
      </c>
      <c r="T53" s="135">
        <f t="shared" si="65"/>
        <v>112</v>
      </c>
      <c r="U53" s="298">
        <f t="shared" si="65"/>
        <v>4078</v>
      </c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58"/>
      <c r="CV53" s="58"/>
      <c r="CW53" s="58"/>
    </row>
    <row r="54" spans="1:101" s="119" customFormat="1" ht="18.75" customHeight="1" x14ac:dyDescent="0.25">
      <c r="A54" s="711"/>
      <c r="B54" s="711"/>
      <c r="C54" s="711"/>
      <c r="D54" s="711"/>
      <c r="E54" s="711"/>
      <c r="F54" s="118"/>
      <c r="G54" s="118"/>
      <c r="H54" s="411"/>
      <c r="I54" s="107">
        <f>SUM(F53:H53)</f>
        <v>82041</v>
      </c>
      <c r="J54" s="107"/>
      <c r="K54" s="107"/>
      <c r="L54" s="107"/>
      <c r="M54" s="107">
        <f>SUM(J53:L53)</f>
        <v>51944</v>
      </c>
      <c r="N54" s="107"/>
      <c r="O54" s="107"/>
      <c r="P54" s="107"/>
      <c r="Q54" s="107">
        <f>SUM(N53:P53)</f>
        <v>130919</v>
      </c>
      <c r="R54" s="107"/>
      <c r="S54" s="107"/>
      <c r="T54" s="107"/>
      <c r="U54" s="107"/>
      <c r="V54" s="107"/>
      <c r="W54" s="107"/>
      <c r="X54" s="107"/>
      <c r="Y54" s="107"/>
      <c r="Z54" s="107"/>
      <c r="AK54" s="107"/>
      <c r="AL54" s="107"/>
      <c r="AM54" s="107"/>
      <c r="AN54" s="107"/>
      <c r="AO54" s="107"/>
      <c r="AP54" s="107"/>
      <c r="AQ54" s="107"/>
      <c r="AR54" s="107"/>
      <c r="AS54" s="107"/>
      <c r="AT54" s="107"/>
      <c r="AU54" s="107"/>
      <c r="AV54" s="120"/>
      <c r="AW54" s="120"/>
      <c r="AX54" s="120"/>
      <c r="AY54" s="120"/>
      <c r="AZ54" s="120"/>
      <c r="BA54" s="120"/>
      <c r="BB54" s="120"/>
      <c r="BC54" s="120"/>
      <c r="BD54" s="120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  <c r="BT54" s="120"/>
      <c r="BU54" s="120"/>
      <c r="BV54" s="120"/>
      <c r="BW54" s="120"/>
      <c r="BX54" s="120"/>
      <c r="BY54" s="120"/>
      <c r="BZ54" s="120"/>
      <c r="CA54" s="120"/>
      <c r="CB54" s="120"/>
      <c r="CC54" s="120"/>
      <c r="CD54" s="120"/>
      <c r="CE54" s="120"/>
      <c r="CF54" s="120"/>
      <c r="CG54" s="120"/>
      <c r="CH54" s="120"/>
      <c r="CI54" s="120"/>
      <c r="CJ54" s="120"/>
      <c r="CK54" s="120"/>
      <c r="CL54" s="120"/>
      <c r="CM54" s="120"/>
      <c r="CN54" s="120"/>
      <c r="CO54" s="120"/>
      <c r="CP54" s="120"/>
      <c r="CQ54" s="120"/>
      <c r="CR54" s="120"/>
      <c r="CS54" s="120"/>
      <c r="CT54" s="120"/>
      <c r="CU54" s="120"/>
      <c r="CV54" s="120"/>
      <c r="CW54" s="120"/>
    </row>
    <row r="55" spans="1:101" s="121" customFormat="1" ht="13.5" customHeight="1" x14ac:dyDescent="0.2">
      <c r="A55" s="815"/>
      <c r="B55" s="815"/>
      <c r="C55" s="815"/>
      <c r="D55" s="815"/>
      <c r="E55" s="815"/>
      <c r="F55" s="575"/>
      <c r="G55" s="575"/>
      <c r="H55" s="412"/>
      <c r="I55" s="121">
        <f>SUM(F53:H53)</f>
        <v>82041</v>
      </c>
      <c r="M55" s="121">
        <f>SUM(J53:L53)</f>
        <v>51944</v>
      </c>
      <c r="Q55" s="119">
        <f>SUM(N53:P53)</f>
        <v>130919</v>
      </c>
      <c r="V55" s="121">
        <f>SUM(R53:U53)</f>
        <v>8156</v>
      </c>
      <c r="AA55" s="121">
        <f>SUM(W53:Z53)</f>
        <v>0</v>
      </c>
      <c r="AF55" s="121">
        <f>SUM(AB53:AE53)</f>
        <v>0</v>
      </c>
      <c r="AK55" s="121">
        <f>SUM(AG53:AJ53)</f>
        <v>0</v>
      </c>
      <c r="AP55" s="121">
        <f>SUM(AL53:AO53)</f>
        <v>0</v>
      </c>
      <c r="AU55" s="121">
        <f>SUM(AQ53:AT53)</f>
        <v>0</v>
      </c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</row>
    <row r="56" spans="1:101" s="123" customFormat="1" ht="15" x14ac:dyDescent="0.25">
      <c r="A56" s="413"/>
      <c r="D56" s="121">
        <f>SUM(B53:C53)</f>
        <v>260571</v>
      </c>
      <c r="E56" s="107"/>
      <c r="F56" s="367"/>
      <c r="G56" s="367"/>
      <c r="H56" s="413"/>
      <c r="I56" s="121">
        <f>I55</f>
        <v>82041</v>
      </c>
      <c r="J56" s="121">
        <f t="shared" ref="J56:AU56" si="66">J55</f>
        <v>0</v>
      </c>
      <c r="K56" s="121">
        <f t="shared" si="66"/>
        <v>0</v>
      </c>
      <c r="L56" s="121"/>
      <c r="M56" s="121">
        <f t="shared" si="66"/>
        <v>51944</v>
      </c>
      <c r="N56" s="121">
        <f t="shared" si="66"/>
        <v>0</v>
      </c>
      <c r="O56" s="121">
        <f t="shared" si="66"/>
        <v>0</v>
      </c>
      <c r="P56" s="121"/>
      <c r="Q56" s="119">
        <f t="shared" si="66"/>
        <v>130919</v>
      </c>
      <c r="R56" s="121">
        <f t="shared" si="66"/>
        <v>0</v>
      </c>
      <c r="S56" s="121">
        <f t="shared" si="66"/>
        <v>0</v>
      </c>
      <c r="T56" s="121">
        <f t="shared" si="66"/>
        <v>0</v>
      </c>
      <c r="U56" s="121">
        <f t="shared" si="66"/>
        <v>0</v>
      </c>
      <c r="V56" s="121">
        <f t="shared" si="66"/>
        <v>8156</v>
      </c>
      <c r="W56" s="121">
        <f t="shared" si="66"/>
        <v>0</v>
      </c>
      <c r="X56" s="121">
        <f t="shared" si="66"/>
        <v>0</v>
      </c>
      <c r="Y56" s="121">
        <f t="shared" si="66"/>
        <v>0</v>
      </c>
      <c r="Z56" s="121">
        <f t="shared" si="66"/>
        <v>0</v>
      </c>
      <c r="AA56" s="121">
        <f t="shared" si="66"/>
        <v>0</v>
      </c>
      <c r="AB56" s="121">
        <f t="shared" si="66"/>
        <v>0</v>
      </c>
      <c r="AC56" s="121">
        <f t="shared" si="66"/>
        <v>0</v>
      </c>
      <c r="AD56" s="121">
        <f t="shared" si="66"/>
        <v>0</v>
      </c>
      <c r="AE56" s="121">
        <f t="shared" si="66"/>
        <v>0</v>
      </c>
      <c r="AF56" s="121">
        <f t="shared" si="66"/>
        <v>0</v>
      </c>
      <c r="AG56" s="121"/>
      <c r="AH56" s="121"/>
      <c r="AI56" s="121"/>
      <c r="AJ56" s="121"/>
      <c r="AK56" s="121"/>
      <c r="AL56" s="121"/>
      <c r="AM56" s="121">
        <f t="shared" si="66"/>
        <v>0</v>
      </c>
      <c r="AN56" s="121">
        <f t="shared" si="66"/>
        <v>0</v>
      </c>
      <c r="AO56" s="121">
        <f t="shared" si="66"/>
        <v>0</v>
      </c>
      <c r="AP56" s="121">
        <f t="shared" si="66"/>
        <v>0</v>
      </c>
      <c r="AQ56" s="121">
        <f t="shared" si="66"/>
        <v>0</v>
      </c>
      <c r="AR56" s="121">
        <f t="shared" si="66"/>
        <v>0</v>
      </c>
      <c r="AS56" s="121">
        <f t="shared" si="66"/>
        <v>0</v>
      </c>
      <c r="AT56" s="121">
        <f t="shared" si="66"/>
        <v>0</v>
      </c>
      <c r="AU56" s="121">
        <f t="shared" si="66"/>
        <v>0</v>
      </c>
      <c r="AV56" s="124"/>
      <c r="AW56" s="124"/>
      <c r="AX56" s="124"/>
      <c r="AY56" s="124"/>
      <c r="AZ56" s="124"/>
      <c r="BA56" s="124"/>
      <c r="BB56" s="124"/>
      <c r="BC56" s="124"/>
      <c r="BD56" s="124"/>
      <c r="BE56" s="124"/>
      <c r="BF56" s="124"/>
      <c r="BG56" s="124"/>
      <c r="BH56" s="124"/>
      <c r="BI56" s="124"/>
      <c r="BJ56" s="124"/>
      <c r="BK56" s="124"/>
      <c r="BL56" s="124"/>
      <c r="BM56" s="124"/>
      <c r="BN56" s="124"/>
      <c r="BO56" s="124"/>
      <c r="BP56" s="124"/>
      <c r="BQ56" s="124"/>
      <c r="BR56" s="124"/>
      <c r="BS56" s="124"/>
      <c r="BT56" s="124"/>
      <c r="BU56" s="124"/>
      <c r="BV56" s="124"/>
      <c r="BW56" s="124"/>
      <c r="BX56" s="124"/>
      <c r="BY56" s="124"/>
      <c r="BZ56" s="124"/>
      <c r="CA56" s="124"/>
      <c r="CB56" s="124"/>
      <c r="CC56" s="124"/>
      <c r="CD56" s="124"/>
      <c r="CE56" s="124"/>
      <c r="CF56" s="124"/>
      <c r="CG56" s="124"/>
      <c r="CH56" s="124"/>
      <c r="CI56" s="124"/>
      <c r="CJ56" s="124"/>
      <c r="CK56" s="124"/>
      <c r="CL56" s="124"/>
      <c r="CM56" s="124"/>
      <c r="CN56" s="124"/>
      <c r="CO56" s="124"/>
      <c r="CP56" s="124"/>
      <c r="CQ56" s="124"/>
      <c r="CR56" s="124"/>
      <c r="CS56" s="124"/>
      <c r="CT56" s="124"/>
      <c r="CU56" s="124"/>
      <c r="CV56" s="124"/>
      <c r="CW56" s="124"/>
    </row>
    <row r="57" spans="1:101" s="123" customFormat="1" x14ac:dyDescent="0.2">
      <c r="A57" s="413"/>
      <c r="C57" s="121"/>
      <c r="F57" s="367"/>
      <c r="G57" s="367"/>
      <c r="H57" s="413"/>
      <c r="I57" s="121">
        <f>SUM(F53:H53)</f>
        <v>82041</v>
      </c>
      <c r="M57" s="121">
        <f>SUM(J53:L53)</f>
        <v>51944</v>
      </c>
      <c r="Q57" s="121">
        <f>SUM(N53:P53)</f>
        <v>130919</v>
      </c>
      <c r="V57" s="121">
        <f>SUM(R53:U53)</f>
        <v>8156</v>
      </c>
      <c r="AA57" s="121">
        <f>SUM(W53:Z53)</f>
        <v>0</v>
      </c>
      <c r="AF57" s="121">
        <f>SUM(AB53:AE53)</f>
        <v>0</v>
      </c>
      <c r="AK57" s="121"/>
      <c r="AP57" s="121">
        <f>SUM(AL53:AO53)</f>
        <v>0</v>
      </c>
      <c r="AU57" s="121">
        <f>SUM(AQ53:AT53)</f>
        <v>0</v>
      </c>
      <c r="AV57" s="124"/>
      <c r="AW57" s="124"/>
      <c r="AX57" s="124"/>
      <c r="AY57" s="124"/>
      <c r="AZ57" s="124"/>
      <c r="BA57" s="124"/>
      <c r="BB57" s="124"/>
      <c r="BC57" s="124"/>
      <c r="BD57" s="124"/>
      <c r="BE57" s="124"/>
      <c r="BF57" s="124"/>
      <c r="BG57" s="124"/>
      <c r="BH57" s="124"/>
      <c r="BI57" s="124"/>
      <c r="BJ57" s="124"/>
      <c r="BK57" s="124"/>
      <c r="BL57" s="124"/>
      <c r="BM57" s="124"/>
      <c r="BN57" s="124"/>
      <c r="BO57" s="124"/>
      <c r="BP57" s="124"/>
      <c r="BQ57" s="124"/>
      <c r="BR57" s="124"/>
      <c r="BS57" s="124"/>
      <c r="BT57" s="124"/>
      <c r="BU57" s="124"/>
      <c r="BV57" s="124"/>
      <c r="BW57" s="124"/>
      <c r="BX57" s="124"/>
      <c r="BY57" s="124"/>
      <c r="BZ57" s="124"/>
      <c r="CA57" s="124"/>
      <c r="CB57" s="124"/>
      <c r="CC57" s="124"/>
      <c r="CD57" s="124"/>
      <c r="CE57" s="124"/>
      <c r="CF57" s="124"/>
      <c r="CG57" s="124"/>
      <c r="CH57" s="124"/>
      <c r="CI57" s="124"/>
      <c r="CJ57" s="124"/>
      <c r="CK57" s="124"/>
      <c r="CL57" s="124"/>
      <c r="CM57" s="124"/>
      <c r="CN57" s="124"/>
      <c r="CO57" s="124"/>
      <c r="CP57" s="124"/>
      <c r="CQ57" s="124"/>
      <c r="CR57" s="124"/>
      <c r="CS57" s="124"/>
      <c r="CT57" s="124"/>
      <c r="CU57" s="124"/>
      <c r="CV57" s="124"/>
      <c r="CW57" s="124"/>
    </row>
    <row r="58" spans="1:101" s="123" customFormat="1" x14ac:dyDescent="0.2">
      <c r="A58" s="301"/>
      <c r="B58" s="125"/>
      <c r="C58" s="125"/>
      <c r="D58" s="364"/>
      <c r="E58" s="125"/>
      <c r="F58" s="297"/>
      <c r="H58" s="413"/>
      <c r="Q58" s="123">
        <v>0</v>
      </c>
      <c r="AH58" s="121"/>
    </row>
    <row r="59" spans="1:101" s="123" customFormat="1" x14ac:dyDescent="0.2">
      <c r="A59" s="301"/>
      <c r="B59" s="364"/>
      <c r="C59" s="125"/>
      <c r="D59" s="125"/>
      <c r="E59" s="125"/>
      <c r="F59" s="296"/>
      <c r="G59" s="121"/>
      <c r="H59" s="413"/>
      <c r="AG59" s="121"/>
    </row>
    <row r="60" spans="1:101" x14ac:dyDescent="0.2">
      <c r="B60" s="77"/>
      <c r="H60" s="301"/>
      <c r="I60" s="125"/>
      <c r="J60" s="125"/>
      <c r="K60" s="125"/>
      <c r="L60" s="125"/>
      <c r="M60" s="125"/>
    </row>
    <row r="61" spans="1:101" x14ac:dyDescent="0.2">
      <c r="B61" s="77"/>
      <c r="D61" s="77"/>
      <c r="F61" s="77"/>
      <c r="H61" s="301"/>
      <c r="I61" s="125"/>
      <c r="J61" s="125"/>
      <c r="K61" s="125"/>
      <c r="L61" s="125"/>
      <c r="M61" s="125"/>
    </row>
    <row r="62" spans="1:101" x14ac:dyDescent="0.2">
      <c r="B62" s="77"/>
      <c r="D62" s="77"/>
      <c r="H62" s="301"/>
      <c r="I62" s="125"/>
      <c r="J62" s="125"/>
      <c r="K62" s="125"/>
      <c r="L62" s="125"/>
      <c r="M62" s="125"/>
    </row>
    <row r="63" spans="1:101" x14ac:dyDescent="0.2">
      <c r="B63" s="77"/>
      <c r="G63" s="1" t="s">
        <v>13</v>
      </c>
    </row>
  </sheetData>
  <sheetProtection algorithmName="SHA-512" hashValue="HXQmZeAplpT9G0GXcKgxKDB+8gKW1U0hj+G00my8tSWJX/aEacw8FwaXL+fLPhUjWPwGG3n3HZXGm+FdkD8uhA==" saltValue="Nq9WMDL+1XVeqHeoUgIaXw==" spinCount="100000" sheet="1" objects="1" scenarios="1"/>
  <mergeCells count="22">
    <mergeCell ref="A55:E55"/>
    <mergeCell ref="BU5:BY5"/>
    <mergeCell ref="BZ5:CD5"/>
    <mergeCell ref="A2:E2"/>
    <mergeCell ref="F5:I5"/>
    <mergeCell ref="B5:D5"/>
    <mergeCell ref="A1:Q1"/>
    <mergeCell ref="A3:Q3"/>
    <mergeCell ref="CE5:CI5"/>
    <mergeCell ref="W5:AA5"/>
    <mergeCell ref="BF5:BJ5"/>
    <mergeCell ref="AB5:AF5"/>
    <mergeCell ref="AL5:AP5"/>
    <mergeCell ref="AQ5:AU5"/>
    <mergeCell ref="AV5:AZ5"/>
    <mergeCell ref="BA5:BE5"/>
    <mergeCell ref="BK5:BO5"/>
    <mergeCell ref="BP5:BT5"/>
    <mergeCell ref="AG5:AK5"/>
    <mergeCell ref="J5:M5"/>
    <mergeCell ref="N5:Q5"/>
    <mergeCell ref="R5:U5"/>
  </mergeCells>
  <phoneticPr fontId="28" type="noConversion"/>
  <pageMargins left="0.7" right="0.7" top="0.75" bottom="0.75" header="0.3" footer="0.3"/>
  <pageSetup scale="5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32AD7-AEC3-4690-8AE6-B65D8F37E917}">
  <dimension ref="A1:CZ65"/>
  <sheetViews>
    <sheetView showGridLines="0" zoomScale="85" zoomScaleNormal="85" workbookViewId="0">
      <pane ySplit="6" topLeftCell="A45" activePane="bottomLeft" state="frozen"/>
      <selection pane="bottomLeft" activeCell="A7" sqref="A7:XFD7"/>
    </sheetView>
  </sheetViews>
  <sheetFormatPr defaultRowHeight="15" x14ac:dyDescent="0.25"/>
  <cols>
    <col min="1" max="1" width="11.75" style="72" customWidth="1"/>
    <col min="2" max="5" width="10.625" style="72" customWidth="1"/>
    <col min="6" max="6" width="10.625" style="76" customWidth="1"/>
    <col min="7" max="7" width="12.125" style="111" customWidth="1"/>
    <col min="8" max="11" width="10.625" style="72" customWidth="1"/>
    <col min="12" max="12" width="10.625" style="681" customWidth="1"/>
    <col min="13" max="16" width="10.625" style="72" customWidth="1"/>
    <col min="17" max="17" width="10.625" style="681" customWidth="1"/>
    <col min="18" max="21" width="10.625" style="72" customWidth="1"/>
    <col min="22" max="22" width="10.625" style="681" customWidth="1"/>
    <col min="23" max="26" width="9" style="93"/>
    <col min="27" max="27" width="9" style="693"/>
    <col min="28" max="46" width="9" style="93"/>
    <col min="47" max="16384" width="9" style="1"/>
  </cols>
  <sheetData>
    <row r="1" spans="1:104" ht="36.75" customHeight="1" x14ac:dyDescent="0.4">
      <c r="A1" s="819" t="s">
        <v>11</v>
      </c>
      <c r="B1" s="819"/>
      <c r="C1" s="819"/>
      <c r="D1" s="819"/>
      <c r="E1" s="819"/>
      <c r="F1" s="819"/>
      <c r="G1" s="819"/>
      <c r="H1" s="819"/>
      <c r="I1" s="819"/>
      <c r="J1" s="819"/>
      <c r="K1" s="819"/>
      <c r="L1" s="819"/>
      <c r="M1" s="819"/>
      <c r="N1" s="819"/>
      <c r="O1" s="819"/>
      <c r="P1" s="819"/>
      <c r="Q1" s="819"/>
      <c r="R1" s="819"/>
      <c r="S1" s="819"/>
      <c r="T1" s="819"/>
      <c r="U1" s="819"/>
      <c r="V1" s="819"/>
    </row>
    <row r="2" spans="1:104" ht="10.5" customHeight="1" x14ac:dyDescent="0.25">
      <c r="A2" s="800"/>
      <c r="B2" s="800"/>
      <c r="C2" s="800"/>
      <c r="D2" s="800"/>
      <c r="E2" s="800"/>
      <c r="F2" s="800"/>
      <c r="G2" s="94"/>
    </row>
    <row r="3" spans="1:104" ht="18" x14ac:dyDescent="0.25">
      <c r="A3" s="801" t="s">
        <v>56</v>
      </c>
      <c r="B3" s="801"/>
      <c r="C3" s="801"/>
      <c r="D3" s="801"/>
      <c r="E3" s="801"/>
      <c r="F3" s="801"/>
      <c r="G3" s="801"/>
      <c r="H3" s="801"/>
      <c r="I3" s="801"/>
      <c r="J3" s="801"/>
      <c r="K3" s="801"/>
      <c r="L3" s="801"/>
      <c r="M3" s="801"/>
      <c r="N3" s="801"/>
      <c r="O3" s="801"/>
      <c r="P3" s="801"/>
      <c r="Q3" s="801"/>
      <c r="R3" s="801"/>
      <c r="S3" s="801"/>
      <c r="T3" s="801"/>
      <c r="U3" s="801"/>
      <c r="V3" s="801"/>
    </row>
    <row r="4" spans="1:104" ht="18" x14ac:dyDescent="0.25">
      <c r="A4" s="95"/>
      <c r="B4" s="95"/>
      <c r="C4" s="95"/>
      <c r="D4" s="95"/>
      <c r="E4" s="303" t="s">
        <v>13</v>
      </c>
      <c r="F4" s="670"/>
      <c r="G4" s="95"/>
    </row>
    <row r="5" spans="1:104" s="79" customFormat="1" ht="41.25" customHeight="1" x14ac:dyDescent="0.2">
      <c r="A5" s="78"/>
      <c r="B5" s="820" t="s">
        <v>81</v>
      </c>
      <c r="C5" s="821"/>
      <c r="D5" s="821"/>
      <c r="E5" s="821"/>
      <c r="F5" s="629">
        <f>F57</f>
        <v>141051</v>
      </c>
      <c r="G5" s="519"/>
      <c r="H5" s="822" t="s">
        <v>17</v>
      </c>
      <c r="I5" s="823"/>
      <c r="J5" s="823"/>
      <c r="K5" s="823"/>
      <c r="L5" s="626">
        <f>L57</f>
        <v>41644</v>
      </c>
      <c r="M5" s="824" t="s">
        <v>18</v>
      </c>
      <c r="N5" s="825"/>
      <c r="O5" s="825"/>
      <c r="P5" s="825"/>
      <c r="Q5" s="627">
        <f>Q57</f>
        <v>32275</v>
      </c>
      <c r="R5" s="824" t="s">
        <v>19</v>
      </c>
      <c r="S5" s="825"/>
      <c r="T5" s="825"/>
      <c r="U5" s="825"/>
      <c r="V5" s="627">
        <f>V57</f>
        <v>64853</v>
      </c>
      <c r="W5" s="824" t="s">
        <v>54</v>
      </c>
      <c r="X5" s="825"/>
      <c r="Y5" s="825"/>
      <c r="Z5" s="825"/>
      <c r="AA5" s="627">
        <f>AA57</f>
        <v>2237</v>
      </c>
      <c r="AB5" s="809"/>
      <c r="AC5" s="809"/>
      <c r="AD5" s="809"/>
      <c r="AE5" s="809"/>
      <c r="AF5" s="809"/>
      <c r="AG5" s="809"/>
      <c r="AH5" s="809"/>
      <c r="AI5" s="809"/>
      <c r="AJ5" s="809"/>
      <c r="AK5" s="809"/>
      <c r="AL5" s="809"/>
      <c r="AM5" s="809"/>
      <c r="AN5" s="809"/>
      <c r="AO5" s="809"/>
      <c r="AP5" s="809"/>
      <c r="AQ5" s="808"/>
      <c r="AR5" s="808"/>
      <c r="AS5" s="808"/>
      <c r="AT5" s="808"/>
      <c r="AU5" s="808"/>
      <c r="AV5" s="808"/>
      <c r="AW5" s="808"/>
      <c r="AX5" s="808"/>
      <c r="AY5" s="808"/>
      <c r="AZ5" s="808"/>
      <c r="BA5" s="808"/>
      <c r="BB5" s="808"/>
      <c r="BC5" s="808"/>
      <c r="BD5" s="808"/>
      <c r="BE5" s="808"/>
      <c r="BF5" s="808"/>
      <c r="BG5" s="808"/>
      <c r="BH5" s="808"/>
      <c r="BI5" s="808"/>
      <c r="BJ5" s="808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</row>
    <row r="6" spans="1:104" s="82" customFormat="1" ht="47.25" customHeight="1" thickBot="1" x14ac:dyDescent="0.25">
      <c r="A6" s="80" t="s">
        <v>7</v>
      </c>
      <c r="B6" s="753" t="s">
        <v>8</v>
      </c>
      <c r="C6" s="754" t="s">
        <v>9</v>
      </c>
      <c r="D6" s="755" t="s">
        <v>10</v>
      </c>
      <c r="E6" s="756" t="s">
        <v>52</v>
      </c>
      <c r="F6" s="671" t="s">
        <v>5</v>
      </c>
      <c r="G6" s="97" t="s">
        <v>20</v>
      </c>
      <c r="H6" s="80" t="s">
        <v>8</v>
      </c>
      <c r="I6" s="80" t="s">
        <v>9</v>
      </c>
      <c r="J6" s="98" t="s">
        <v>10</v>
      </c>
      <c r="K6" s="98" t="s">
        <v>52</v>
      </c>
      <c r="L6" s="682" t="s">
        <v>5</v>
      </c>
      <c r="M6" s="100" t="s">
        <v>8</v>
      </c>
      <c r="N6" s="80" t="s">
        <v>9</v>
      </c>
      <c r="O6" s="98" t="s">
        <v>10</v>
      </c>
      <c r="P6" s="98" t="s">
        <v>52</v>
      </c>
      <c r="Q6" s="682" t="s">
        <v>5</v>
      </c>
      <c r="R6" s="100" t="s">
        <v>8</v>
      </c>
      <c r="S6" s="80" t="s">
        <v>9</v>
      </c>
      <c r="T6" s="98" t="s">
        <v>10</v>
      </c>
      <c r="U6" s="98" t="s">
        <v>52</v>
      </c>
      <c r="V6" s="682" t="s">
        <v>5</v>
      </c>
      <c r="W6" s="100" t="s">
        <v>8</v>
      </c>
      <c r="X6" s="80" t="s">
        <v>9</v>
      </c>
      <c r="Y6" s="98" t="s">
        <v>10</v>
      </c>
      <c r="Z6" s="98" t="s">
        <v>52</v>
      </c>
      <c r="AA6" s="682" t="s">
        <v>5</v>
      </c>
      <c r="AB6" s="101"/>
      <c r="AC6" s="101"/>
      <c r="AD6" s="102"/>
      <c r="AE6" s="101"/>
      <c r="AF6" s="101"/>
      <c r="AG6" s="101"/>
      <c r="AH6" s="101"/>
      <c r="AI6" s="102"/>
      <c r="AJ6" s="101"/>
      <c r="AK6" s="101"/>
      <c r="AL6" s="101"/>
      <c r="AM6" s="101"/>
      <c r="AN6" s="102"/>
      <c r="AO6" s="101"/>
      <c r="AP6" s="101"/>
      <c r="AQ6" s="101"/>
      <c r="AR6" s="101"/>
      <c r="AS6" s="102"/>
      <c r="AT6" s="101"/>
      <c r="AU6" s="103"/>
      <c r="AV6" s="103"/>
      <c r="AW6" s="103"/>
      <c r="AX6" s="104"/>
      <c r="AY6" s="103"/>
      <c r="AZ6" s="103"/>
      <c r="BA6" s="103"/>
      <c r="BB6" s="103"/>
      <c r="BC6" s="104"/>
      <c r="BD6" s="103"/>
      <c r="BE6" s="103"/>
      <c r="BF6" s="103"/>
      <c r="BG6" s="103"/>
      <c r="BH6" s="104"/>
      <c r="BI6" s="103"/>
      <c r="BJ6" s="103"/>
    </row>
    <row r="7" spans="1:104" s="82" customFormat="1" ht="20.45" customHeight="1" x14ac:dyDescent="0.2">
      <c r="A7" s="390">
        <v>44092</v>
      </c>
      <c r="B7" s="757">
        <f>SUM(H7,M7,R7,W7)</f>
        <v>0</v>
      </c>
      <c r="C7" s="758">
        <f t="shared" ref="C7:E8" si="0">SUM(I7,N7,S7,X7)</f>
        <v>0</v>
      </c>
      <c r="D7" s="758">
        <f t="shared" si="0"/>
        <v>0</v>
      </c>
      <c r="E7" s="759">
        <f t="shared" si="0"/>
        <v>0</v>
      </c>
      <c r="F7" s="672">
        <f>SUM(B7:E7)</f>
        <v>0</v>
      </c>
      <c r="G7" s="391">
        <v>0</v>
      </c>
      <c r="H7" s="392">
        <v>0</v>
      </c>
      <c r="I7" s="392">
        <v>0</v>
      </c>
      <c r="J7" s="393">
        <v>0</v>
      </c>
      <c r="K7" s="393">
        <v>0</v>
      </c>
      <c r="L7" s="683">
        <f>SUM(H7:K7)</f>
        <v>0</v>
      </c>
      <c r="M7" s="400">
        <v>0</v>
      </c>
      <c r="N7" s="401">
        <v>0</v>
      </c>
      <c r="O7" s="402">
        <v>0</v>
      </c>
      <c r="P7" s="402">
        <v>0</v>
      </c>
      <c r="Q7" s="683">
        <f>SUM(M7:P7)</f>
        <v>0</v>
      </c>
      <c r="R7" s="400">
        <v>0</v>
      </c>
      <c r="S7" s="401">
        <v>0</v>
      </c>
      <c r="T7" s="402">
        <v>0</v>
      </c>
      <c r="U7" s="402">
        <v>0</v>
      </c>
      <c r="V7" s="683">
        <f>SUM(R7:U7)</f>
        <v>0</v>
      </c>
      <c r="W7" s="400">
        <v>0</v>
      </c>
      <c r="X7" s="401">
        <v>0</v>
      </c>
      <c r="Y7" s="402">
        <v>0</v>
      </c>
      <c r="Z7" s="402">
        <v>0</v>
      </c>
      <c r="AA7" s="694">
        <f>SUM(W7:Z7)</f>
        <v>0</v>
      </c>
      <c r="AB7" s="101"/>
      <c r="AC7" s="101"/>
      <c r="AD7" s="102"/>
      <c r="AE7" s="101"/>
      <c r="AF7" s="101"/>
      <c r="AG7" s="101"/>
      <c r="AH7" s="101"/>
      <c r="AI7" s="102"/>
      <c r="AJ7" s="101"/>
      <c r="AK7" s="101"/>
      <c r="AL7" s="101"/>
      <c r="AM7" s="101"/>
      <c r="AN7" s="102"/>
      <c r="AO7" s="101"/>
      <c r="AP7" s="101"/>
      <c r="AQ7" s="101"/>
      <c r="AR7" s="101"/>
      <c r="AS7" s="102"/>
      <c r="AT7" s="101"/>
      <c r="AU7" s="103"/>
      <c r="AV7" s="103"/>
      <c r="AW7" s="103"/>
      <c r="AX7" s="104"/>
      <c r="AY7" s="103"/>
      <c r="AZ7" s="103"/>
      <c r="BA7" s="103"/>
      <c r="BB7" s="103"/>
      <c r="BC7" s="104"/>
      <c r="BD7" s="103"/>
      <c r="BE7" s="103"/>
      <c r="BF7" s="103"/>
      <c r="BG7" s="103"/>
      <c r="BH7" s="104"/>
      <c r="BI7" s="103"/>
      <c r="BJ7" s="103"/>
    </row>
    <row r="8" spans="1:104" s="82" customFormat="1" ht="20.45" customHeight="1" x14ac:dyDescent="0.2">
      <c r="A8" s="394">
        <v>44093</v>
      </c>
      <c r="B8" s="760">
        <f>SUM(H8,M8,R8,W8)</f>
        <v>27</v>
      </c>
      <c r="C8" s="761">
        <f t="shared" si="0"/>
        <v>0</v>
      </c>
      <c r="D8" s="761">
        <f t="shared" si="0"/>
        <v>4</v>
      </c>
      <c r="E8" s="762">
        <f t="shared" si="0"/>
        <v>0</v>
      </c>
      <c r="F8" s="673">
        <f>SUM(B8:E8)</f>
        <v>31</v>
      </c>
      <c r="G8" s="395">
        <v>0</v>
      </c>
      <c r="H8" s="396">
        <v>7</v>
      </c>
      <c r="I8" s="396">
        <v>0</v>
      </c>
      <c r="J8" s="397">
        <v>3</v>
      </c>
      <c r="K8" s="397">
        <v>0</v>
      </c>
      <c r="L8" s="684">
        <f t="shared" ref="L8:L9" si="1">SUM(H8:K8)</f>
        <v>10</v>
      </c>
      <c r="M8" s="398">
        <v>6</v>
      </c>
      <c r="N8" s="396">
        <v>0</v>
      </c>
      <c r="O8" s="397">
        <v>0</v>
      </c>
      <c r="P8" s="397">
        <v>0</v>
      </c>
      <c r="Q8" s="684">
        <f>SUM(M8:P8)</f>
        <v>6</v>
      </c>
      <c r="R8" s="398">
        <v>14</v>
      </c>
      <c r="S8" s="396">
        <v>0</v>
      </c>
      <c r="T8" s="397">
        <v>1</v>
      </c>
      <c r="U8" s="397">
        <v>0</v>
      </c>
      <c r="V8" s="684">
        <f t="shared" ref="V8" si="2">SUM(R8:U8)</f>
        <v>15</v>
      </c>
      <c r="W8" s="398">
        <v>0</v>
      </c>
      <c r="X8" s="396">
        <v>0</v>
      </c>
      <c r="Y8" s="397">
        <v>0</v>
      </c>
      <c r="Z8" s="397">
        <v>0</v>
      </c>
      <c r="AA8" s="695">
        <f t="shared" ref="AA8:AA9" si="3">SUM(W8:Z8)</f>
        <v>0</v>
      </c>
      <c r="AB8" s="101"/>
      <c r="AC8" s="101"/>
      <c r="AD8" s="102"/>
      <c r="AE8" s="101"/>
      <c r="AF8" s="101"/>
      <c r="AG8" s="101"/>
      <c r="AH8" s="101"/>
      <c r="AI8" s="102"/>
      <c r="AJ8" s="101"/>
      <c r="AK8" s="101"/>
      <c r="AL8" s="101"/>
      <c r="AM8" s="101"/>
      <c r="AN8" s="102"/>
      <c r="AO8" s="101"/>
      <c r="AP8" s="101"/>
      <c r="AQ8" s="101"/>
      <c r="AR8" s="101"/>
      <c r="AS8" s="102"/>
      <c r="AT8" s="101"/>
      <c r="AU8" s="103"/>
      <c r="AV8" s="103"/>
      <c r="AW8" s="103"/>
      <c r="AX8" s="104"/>
      <c r="AY8" s="103"/>
      <c r="AZ8" s="103"/>
      <c r="BA8" s="103"/>
      <c r="BB8" s="103"/>
      <c r="BC8" s="104"/>
      <c r="BD8" s="103"/>
      <c r="BE8" s="103"/>
      <c r="BF8" s="103"/>
      <c r="BG8" s="103"/>
      <c r="BH8" s="104"/>
      <c r="BI8" s="103"/>
      <c r="BJ8" s="103"/>
    </row>
    <row r="9" spans="1:104" s="410" customFormat="1" ht="20.45" customHeight="1" x14ac:dyDescent="0.2">
      <c r="A9" s="403">
        <v>44094</v>
      </c>
      <c r="B9" s="763"/>
      <c r="C9" s="764"/>
      <c r="D9" s="764"/>
      <c r="E9" s="765"/>
      <c r="F9" s="674"/>
      <c r="G9" s="404"/>
      <c r="H9" s="405"/>
      <c r="I9" s="405"/>
      <c r="J9" s="406"/>
      <c r="K9" s="406"/>
      <c r="L9" s="685">
        <f t="shared" si="1"/>
        <v>0</v>
      </c>
      <c r="M9" s="408"/>
      <c r="N9" s="407"/>
      <c r="O9" s="409"/>
      <c r="P9" s="409"/>
      <c r="Q9" s="685">
        <f t="shared" ref="Q9" si="4">SUM(M9:P9)</f>
        <v>0</v>
      </c>
      <c r="R9" s="408"/>
      <c r="S9" s="407"/>
      <c r="T9" s="409"/>
      <c r="U9" s="409"/>
      <c r="V9" s="685"/>
      <c r="W9" s="408"/>
      <c r="X9" s="407"/>
      <c r="Y9" s="409"/>
      <c r="Z9" s="409"/>
      <c r="AA9" s="696">
        <f t="shared" si="3"/>
        <v>0</v>
      </c>
      <c r="AB9" s="101"/>
      <c r="AC9" s="101"/>
      <c r="AD9" s="102"/>
      <c r="AE9" s="101"/>
      <c r="AF9" s="101"/>
      <c r="AG9" s="101"/>
      <c r="AH9" s="101"/>
      <c r="AI9" s="102"/>
      <c r="AJ9" s="101"/>
      <c r="AK9" s="101"/>
      <c r="AL9" s="101"/>
      <c r="AM9" s="101"/>
      <c r="AN9" s="102"/>
      <c r="AO9" s="101"/>
      <c r="AP9" s="101"/>
      <c r="AQ9" s="101"/>
      <c r="AR9" s="101"/>
      <c r="AS9" s="102"/>
      <c r="AT9" s="101"/>
      <c r="AU9" s="101"/>
      <c r="AV9" s="101"/>
      <c r="AW9" s="101"/>
      <c r="AX9" s="102"/>
      <c r="AY9" s="101"/>
      <c r="AZ9" s="101"/>
      <c r="BA9" s="101"/>
      <c r="BB9" s="101"/>
      <c r="BC9" s="102"/>
      <c r="BD9" s="101"/>
      <c r="BE9" s="101"/>
      <c r="BF9" s="101"/>
      <c r="BG9" s="101"/>
      <c r="BH9" s="102"/>
      <c r="BI9" s="101"/>
      <c r="BJ9" s="101"/>
      <c r="BK9" s="517"/>
      <c r="BL9" s="517"/>
      <c r="BM9" s="517"/>
      <c r="BN9" s="517"/>
      <c r="BO9" s="517"/>
      <c r="BP9" s="517"/>
      <c r="BQ9" s="517"/>
      <c r="BR9" s="517"/>
      <c r="BS9" s="517"/>
      <c r="BT9" s="517"/>
      <c r="BU9" s="517"/>
      <c r="BV9" s="517"/>
      <c r="BW9" s="517"/>
      <c r="BX9" s="517"/>
      <c r="BY9" s="517"/>
      <c r="BZ9" s="517"/>
      <c r="CA9" s="517"/>
      <c r="CB9" s="517"/>
      <c r="CC9" s="517"/>
      <c r="CD9" s="517"/>
      <c r="CE9" s="517"/>
      <c r="CF9" s="517"/>
      <c r="CG9" s="517"/>
      <c r="CH9" s="517"/>
      <c r="CI9" s="517"/>
      <c r="CJ9" s="517"/>
      <c r="CK9" s="517"/>
      <c r="CL9" s="517"/>
      <c r="CM9" s="517"/>
      <c r="CN9" s="517"/>
      <c r="CO9" s="517"/>
      <c r="CP9" s="517"/>
      <c r="CQ9" s="517"/>
      <c r="CR9" s="517"/>
      <c r="CS9" s="517"/>
      <c r="CT9" s="517"/>
      <c r="CU9" s="517"/>
      <c r="CV9" s="517"/>
      <c r="CW9" s="517"/>
      <c r="CX9" s="517"/>
      <c r="CY9" s="517"/>
      <c r="CZ9" s="517"/>
    </row>
    <row r="10" spans="1:104" s="105" customFormat="1" ht="20.25" customHeight="1" x14ac:dyDescent="0.25">
      <c r="A10" s="386">
        <v>44095</v>
      </c>
      <c r="B10" s="760">
        <f t="shared" ref="B10:B13" si="5">SUM(H10,M10,R10,W10)</f>
        <v>377</v>
      </c>
      <c r="C10" s="761">
        <f t="shared" ref="C10:C13" si="6">SUM(I10,N10,S10,X10)</f>
        <v>0</v>
      </c>
      <c r="D10" s="761">
        <f t="shared" ref="D10:D13" si="7">SUM(J10,O10,T10,Y10)</f>
        <v>69</v>
      </c>
      <c r="E10" s="762">
        <f t="shared" ref="E10:E13" si="8">SUM(K10,P10,U10,Z10)</f>
        <v>0</v>
      </c>
      <c r="F10" s="675">
        <f>SUM(B10:E10)</f>
        <v>446</v>
      </c>
      <c r="G10" s="387">
        <f>2+1+0</f>
        <v>3</v>
      </c>
      <c r="H10" s="388">
        <f>139+4</f>
        <v>143</v>
      </c>
      <c r="I10" s="388">
        <v>0</v>
      </c>
      <c r="J10" s="388">
        <v>42</v>
      </c>
      <c r="K10" s="388">
        <v>0</v>
      </c>
      <c r="L10" s="686">
        <f t="shared" ref="L10:L15" si="9">SUM(H10:K10)</f>
        <v>185</v>
      </c>
      <c r="M10" s="389">
        <f>55+6</f>
        <v>61</v>
      </c>
      <c r="N10" s="388">
        <v>0</v>
      </c>
      <c r="O10" s="388">
        <v>9</v>
      </c>
      <c r="P10" s="327">
        <v>0</v>
      </c>
      <c r="Q10" s="689">
        <f t="shared" ref="Q10:Q15" si="10">SUM(M10:P10)</f>
        <v>70</v>
      </c>
      <c r="R10" s="399">
        <f>164+6</f>
        <v>170</v>
      </c>
      <c r="S10" s="388">
        <v>0</v>
      </c>
      <c r="T10" s="388">
        <v>18</v>
      </c>
      <c r="U10" s="388">
        <v>0</v>
      </c>
      <c r="V10" s="690">
        <f>SUM(R10:U10)</f>
        <v>188</v>
      </c>
      <c r="W10" s="389">
        <v>3</v>
      </c>
      <c r="X10" s="388">
        <v>0</v>
      </c>
      <c r="Y10" s="388">
        <v>0</v>
      </c>
      <c r="Z10" s="388">
        <v>0</v>
      </c>
      <c r="AA10" s="690">
        <f t="shared" ref="AA10:AA15" si="11">SUM(W10:Z10)</f>
        <v>3</v>
      </c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3"/>
      <c r="BQ10" s="93"/>
      <c r="BR10" s="93"/>
      <c r="BS10" s="93"/>
      <c r="BT10" s="93"/>
      <c r="BU10" s="93"/>
      <c r="BV10" s="93"/>
      <c r="BW10" s="93"/>
      <c r="BX10" s="93"/>
      <c r="BY10" s="84"/>
      <c r="BZ10" s="84"/>
      <c r="CA10" s="84"/>
      <c r="CB10" s="84"/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4"/>
    </row>
    <row r="11" spans="1:104" s="105" customFormat="1" ht="20.25" customHeight="1" x14ac:dyDescent="0.25">
      <c r="A11" s="326">
        <v>44096</v>
      </c>
      <c r="B11" s="760">
        <f t="shared" si="5"/>
        <v>250</v>
      </c>
      <c r="C11" s="761">
        <f t="shared" si="6"/>
        <v>0</v>
      </c>
      <c r="D11" s="761">
        <f t="shared" si="7"/>
        <v>34</v>
      </c>
      <c r="E11" s="762">
        <f t="shared" si="8"/>
        <v>0</v>
      </c>
      <c r="F11" s="676">
        <f t="shared" ref="F11:F27" si="12">SUM(B11:E11)</f>
        <v>284</v>
      </c>
      <c r="G11" s="360">
        <v>4</v>
      </c>
      <c r="H11" s="361">
        <v>81</v>
      </c>
      <c r="I11" s="361">
        <v>0</v>
      </c>
      <c r="J11" s="361">
        <v>13</v>
      </c>
      <c r="K11" s="361">
        <v>0</v>
      </c>
      <c r="L11" s="687">
        <f t="shared" si="9"/>
        <v>94</v>
      </c>
      <c r="M11" s="362">
        <v>41</v>
      </c>
      <c r="N11" s="361">
        <v>0</v>
      </c>
      <c r="O11" s="361">
        <v>6</v>
      </c>
      <c r="P11" s="327">
        <v>0</v>
      </c>
      <c r="Q11" s="687">
        <f t="shared" si="10"/>
        <v>47</v>
      </c>
      <c r="R11" s="362">
        <v>125</v>
      </c>
      <c r="S11" s="361">
        <v>0</v>
      </c>
      <c r="T11" s="361">
        <v>15</v>
      </c>
      <c r="U11" s="361">
        <v>0</v>
      </c>
      <c r="V11" s="691">
        <f>SUM(R11:U11)</f>
        <v>140</v>
      </c>
      <c r="W11" s="362">
        <v>3</v>
      </c>
      <c r="X11" s="361">
        <v>0</v>
      </c>
      <c r="Y11" s="361">
        <v>0</v>
      </c>
      <c r="Z11" s="361">
        <v>0</v>
      </c>
      <c r="AA11" s="691">
        <f t="shared" si="11"/>
        <v>3</v>
      </c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4"/>
    </row>
    <row r="12" spans="1:104" ht="20.100000000000001" customHeight="1" x14ac:dyDescent="0.25">
      <c r="A12" s="326">
        <v>44097</v>
      </c>
      <c r="B12" s="760">
        <f t="shared" si="5"/>
        <v>1240</v>
      </c>
      <c r="C12" s="761">
        <f t="shared" si="6"/>
        <v>0</v>
      </c>
      <c r="D12" s="761">
        <f t="shared" si="7"/>
        <v>0</v>
      </c>
      <c r="E12" s="762">
        <f t="shared" si="8"/>
        <v>0</v>
      </c>
      <c r="F12" s="676">
        <f>SUM(B12:E12)</f>
        <v>1240</v>
      </c>
      <c r="G12" s="343">
        <v>2</v>
      </c>
      <c r="H12" s="344">
        <v>356</v>
      </c>
      <c r="I12" s="344">
        <v>0</v>
      </c>
      <c r="J12" s="344">
        <v>0</v>
      </c>
      <c r="K12" s="344">
        <v>0</v>
      </c>
      <c r="L12" s="687">
        <f t="shared" si="9"/>
        <v>356</v>
      </c>
      <c r="M12" s="345">
        <v>217</v>
      </c>
      <c r="N12" s="344">
        <v>0</v>
      </c>
      <c r="O12" s="344">
        <v>0</v>
      </c>
      <c r="P12" s="327">
        <v>0</v>
      </c>
      <c r="Q12" s="687">
        <f t="shared" si="10"/>
        <v>217</v>
      </c>
      <c r="R12" s="345">
        <v>657</v>
      </c>
      <c r="S12" s="344">
        <v>0</v>
      </c>
      <c r="T12" s="344">
        <v>0</v>
      </c>
      <c r="U12" s="344">
        <v>0</v>
      </c>
      <c r="V12" s="691">
        <f t="shared" ref="V12:V32" si="13">SUM(R12:U12)</f>
        <v>657</v>
      </c>
      <c r="W12" s="345">
        <v>10</v>
      </c>
      <c r="X12" s="344">
        <v>0</v>
      </c>
      <c r="Y12" s="344">
        <v>0</v>
      </c>
      <c r="Z12" s="344">
        <v>0</v>
      </c>
      <c r="AA12" s="691">
        <f t="shared" si="11"/>
        <v>10</v>
      </c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/>
      <c r="BT12" s="93"/>
      <c r="BU12" s="93"/>
      <c r="BV12" s="93"/>
      <c r="BW12" s="93"/>
      <c r="BX12" s="93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</row>
    <row r="13" spans="1:104" ht="17.25" customHeight="1" x14ac:dyDescent="0.25">
      <c r="A13" s="326">
        <v>44098</v>
      </c>
      <c r="B13" s="760">
        <f t="shared" si="5"/>
        <v>4008</v>
      </c>
      <c r="C13" s="761">
        <f t="shared" si="6"/>
        <v>6</v>
      </c>
      <c r="D13" s="761">
        <f t="shared" si="7"/>
        <v>211</v>
      </c>
      <c r="E13" s="762">
        <f t="shared" si="8"/>
        <v>0</v>
      </c>
      <c r="F13" s="676">
        <f t="shared" si="12"/>
        <v>4225</v>
      </c>
      <c r="G13" s="217">
        <v>15</v>
      </c>
      <c r="H13" s="218">
        <f>1052+5</f>
        <v>1057</v>
      </c>
      <c r="I13" s="218">
        <v>1</v>
      </c>
      <c r="J13" s="218">
        <f>38+45</f>
        <v>83</v>
      </c>
      <c r="K13" s="218">
        <v>0</v>
      </c>
      <c r="L13" s="687">
        <f t="shared" si="9"/>
        <v>1141</v>
      </c>
      <c r="M13" s="219">
        <v>814</v>
      </c>
      <c r="N13" s="218">
        <v>1</v>
      </c>
      <c r="O13" s="218">
        <f>15+20</f>
        <v>35</v>
      </c>
      <c r="P13" s="218">
        <v>0</v>
      </c>
      <c r="Q13" s="687">
        <f t="shared" si="10"/>
        <v>850</v>
      </c>
      <c r="R13" s="219">
        <v>2059</v>
      </c>
      <c r="S13" s="218">
        <v>4</v>
      </c>
      <c r="T13" s="218">
        <f>40+53</f>
        <v>93</v>
      </c>
      <c r="U13" s="218">
        <v>0</v>
      </c>
      <c r="V13" s="691">
        <f t="shared" si="13"/>
        <v>2156</v>
      </c>
      <c r="W13" s="219">
        <v>78</v>
      </c>
      <c r="X13" s="218">
        <v>0</v>
      </c>
      <c r="Y13" s="218">
        <v>0</v>
      </c>
      <c r="Z13" s="218">
        <v>0</v>
      </c>
      <c r="AA13" s="691">
        <f t="shared" si="11"/>
        <v>78</v>
      </c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3"/>
      <c r="BQ13" s="93"/>
      <c r="BR13" s="93"/>
      <c r="BS13" s="93"/>
      <c r="BT13" s="93"/>
      <c r="BU13" s="93"/>
      <c r="BV13" s="93"/>
      <c r="BW13" s="93"/>
      <c r="BX13" s="93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</row>
    <row r="14" spans="1:104" ht="20.100000000000001" customHeight="1" x14ac:dyDescent="0.25">
      <c r="A14" s="326">
        <v>44099</v>
      </c>
      <c r="B14" s="760">
        <f t="shared" ref="B14" si="14">SUM(H14,M14,R14,W14)</f>
        <v>3870</v>
      </c>
      <c r="C14" s="761">
        <f t="shared" ref="C14" si="15">SUM(I14,N14,S14,X14)</f>
        <v>12</v>
      </c>
      <c r="D14" s="761">
        <f t="shared" ref="D14" si="16">SUM(J14,O14,T14,Y14)</f>
        <v>78</v>
      </c>
      <c r="E14" s="762">
        <f t="shared" ref="E14" si="17">SUM(K14,P14,U14,Z14)</f>
        <v>0</v>
      </c>
      <c r="F14" s="676">
        <f t="shared" si="12"/>
        <v>3960</v>
      </c>
      <c r="G14" s="217">
        <v>7</v>
      </c>
      <c r="H14" s="440">
        <v>1021</v>
      </c>
      <c r="I14" s="441">
        <v>2</v>
      </c>
      <c r="J14" s="441">
        <v>31</v>
      </c>
      <c r="K14" s="218">
        <v>0</v>
      </c>
      <c r="L14" s="687">
        <f t="shared" si="9"/>
        <v>1054</v>
      </c>
      <c r="M14" s="440">
        <v>809</v>
      </c>
      <c r="N14" s="441">
        <v>0</v>
      </c>
      <c r="O14" s="441">
        <v>14</v>
      </c>
      <c r="P14" s="218">
        <v>0</v>
      </c>
      <c r="Q14" s="687">
        <f t="shared" si="10"/>
        <v>823</v>
      </c>
      <c r="R14" s="440">
        <f>1995-6-1</f>
        <v>1988</v>
      </c>
      <c r="S14" s="441">
        <v>10</v>
      </c>
      <c r="T14" s="441">
        <v>33</v>
      </c>
      <c r="U14" s="218">
        <v>0</v>
      </c>
      <c r="V14" s="691">
        <f t="shared" si="13"/>
        <v>2031</v>
      </c>
      <c r="W14" s="440">
        <f>51+1</f>
        <v>52</v>
      </c>
      <c r="X14" s="441">
        <v>0</v>
      </c>
      <c r="Y14" s="441">
        <v>0</v>
      </c>
      <c r="Z14" s="218">
        <v>0</v>
      </c>
      <c r="AA14" s="691">
        <f t="shared" si="11"/>
        <v>52</v>
      </c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3"/>
      <c r="BP14" s="93"/>
      <c r="BQ14" s="93"/>
      <c r="BR14" s="93"/>
      <c r="BS14" s="93"/>
      <c r="BT14" s="93"/>
      <c r="BU14" s="93"/>
      <c r="BV14" s="93"/>
      <c r="BW14" s="93"/>
      <c r="BX14" s="93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</row>
    <row r="15" spans="1:104" s="84" customFormat="1" ht="20.100000000000001" customHeight="1" x14ac:dyDescent="0.25">
      <c r="A15" s="326">
        <v>44100</v>
      </c>
      <c r="B15" s="760">
        <f t="shared" ref="B15" si="18">SUM(H15,M15,R15,W15)</f>
        <v>4970</v>
      </c>
      <c r="C15" s="761">
        <f t="shared" ref="C15" si="19">SUM(I15,N15,S15,X15)</f>
        <v>10</v>
      </c>
      <c r="D15" s="761">
        <f t="shared" ref="D15" si="20">SUM(J15,O15,T15,Y15)</f>
        <v>88</v>
      </c>
      <c r="E15" s="762">
        <f t="shared" ref="E15" si="21">SUM(K15,P15,U15,Z15)</f>
        <v>0</v>
      </c>
      <c r="F15" s="676">
        <f t="shared" si="12"/>
        <v>5068</v>
      </c>
      <c r="G15" s="217">
        <v>8</v>
      </c>
      <c r="H15" s="221">
        <f>1565-7</f>
        <v>1558</v>
      </c>
      <c r="I15" s="221">
        <v>7</v>
      </c>
      <c r="J15" s="221">
        <v>38</v>
      </c>
      <c r="K15" s="221">
        <v>0</v>
      </c>
      <c r="L15" s="687">
        <f t="shared" si="9"/>
        <v>1603</v>
      </c>
      <c r="M15" s="350">
        <v>949</v>
      </c>
      <c r="N15" s="221">
        <v>0</v>
      </c>
      <c r="O15" s="221">
        <v>14</v>
      </c>
      <c r="P15" s="221">
        <v>0</v>
      </c>
      <c r="Q15" s="687">
        <f t="shared" si="10"/>
        <v>963</v>
      </c>
      <c r="R15" s="350">
        <v>2387</v>
      </c>
      <c r="S15" s="221">
        <v>3</v>
      </c>
      <c r="T15" s="221">
        <v>36</v>
      </c>
      <c r="U15" s="221">
        <v>0</v>
      </c>
      <c r="V15" s="691">
        <f t="shared" si="13"/>
        <v>2426</v>
      </c>
      <c r="W15" s="350">
        <v>76</v>
      </c>
      <c r="X15" s="221">
        <v>0</v>
      </c>
      <c r="Y15" s="221">
        <v>0</v>
      </c>
      <c r="Z15" s="221">
        <v>0</v>
      </c>
      <c r="AA15" s="691">
        <f t="shared" si="11"/>
        <v>76</v>
      </c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</row>
    <row r="16" spans="1:104" ht="20.100000000000001" customHeight="1" x14ac:dyDescent="0.25">
      <c r="A16" s="325">
        <v>44101</v>
      </c>
      <c r="B16" s="763"/>
      <c r="C16" s="764"/>
      <c r="D16" s="764"/>
      <c r="E16" s="765"/>
      <c r="F16" s="677"/>
      <c r="G16" s="220"/>
      <c r="H16" s="328"/>
      <c r="I16" s="328"/>
      <c r="J16" s="328"/>
      <c r="K16" s="328"/>
      <c r="L16" s="688"/>
      <c r="M16" s="329"/>
      <c r="N16" s="328"/>
      <c r="O16" s="328"/>
      <c r="P16" s="328"/>
      <c r="Q16" s="688"/>
      <c r="R16" s="329"/>
      <c r="S16" s="328"/>
      <c r="T16" s="328"/>
      <c r="U16" s="328"/>
      <c r="V16" s="692"/>
      <c r="W16" s="329"/>
      <c r="X16" s="328"/>
      <c r="Y16" s="328"/>
      <c r="Z16" s="328"/>
      <c r="AA16" s="692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</row>
    <row r="17" spans="1:76" ht="20.100000000000001" customHeight="1" x14ac:dyDescent="0.25">
      <c r="A17" s="326">
        <v>44102</v>
      </c>
      <c r="B17" s="760">
        <f t="shared" ref="B17:B20" si="22">SUM(H17,M17,R17,W17)</f>
        <v>8218</v>
      </c>
      <c r="C17" s="761">
        <f t="shared" ref="C17:C20" si="23">SUM(I17,N17,S17,X17)</f>
        <v>33</v>
      </c>
      <c r="D17" s="761">
        <f t="shared" ref="D17:D20" si="24">SUM(J17,O17,T17,Y17)</f>
        <v>12</v>
      </c>
      <c r="E17" s="762">
        <f t="shared" ref="E17:E20" si="25">SUM(K17,P17,U17,Z17)</f>
        <v>0</v>
      </c>
      <c r="F17" s="676">
        <f t="shared" si="12"/>
        <v>8263</v>
      </c>
      <c r="G17" s="217">
        <f>55+11</f>
        <v>66</v>
      </c>
      <c r="H17" s="218">
        <f>2540+6-9</f>
        <v>2537</v>
      </c>
      <c r="I17" s="218">
        <v>12</v>
      </c>
      <c r="J17" s="218">
        <v>7</v>
      </c>
      <c r="K17" s="218">
        <v>0</v>
      </c>
      <c r="L17" s="687">
        <f t="shared" ref="L17:L22" si="26">SUM(H17:K17)</f>
        <v>2556</v>
      </c>
      <c r="M17" s="219">
        <f>1532+7-17</f>
        <v>1522</v>
      </c>
      <c r="N17" s="218">
        <v>3</v>
      </c>
      <c r="O17" s="218">
        <v>0</v>
      </c>
      <c r="P17" s="218">
        <v>0</v>
      </c>
      <c r="Q17" s="687">
        <f t="shared" ref="Q17:Q22" si="27">SUM(M17:P17)</f>
        <v>1525</v>
      </c>
      <c r="R17" s="219">
        <f>4050+13-29</f>
        <v>4034</v>
      </c>
      <c r="S17" s="218">
        <v>18</v>
      </c>
      <c r="T17" s="218">
        <v>5</v>
      </c>
      <c r="U17" s="218">
        <v>0</v>
      </c>
      <c r="V17" s="691">
        <f t="shared" si="13"/>
        <v>4057</v>
      </c>
      <c r="W17" s="219">
        <f>124+1</f>
        <v>125</v>
      </c>
      <c r="X17" s="218">
        <v>0</v>
      </c>
      <c r="Y17" s="218">
        <v>0</v>
      </c>
      <c r="Z17" s="218">
        <v>0</v>
      </c>
      <c r="AA17" s="691">
        <f t="shared" ref="AA17:AA22" si="28">SUM(W17:Z17)</f>
        <v>125</v>
      </c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</row>
    <row r="18" spans="1:76" ht="20.100000000000001" customHeight="1" x14ac:dyDescent="0.25">
      <c r="A18" s="326">
        <v>44103</v>
      </c>
      <c r="B18" s="760">
        <f t="shared" ref="B18" si="29">SUM(H18,M18,R18,W18)</f>
        <v>457</v>
      </c>
      <c r="C18" s="761">
        <f t="shared" ref="C18" si="30">SUM(I18,N18,S18,X18)</f>
        <v>18</v>
      </c>
      <c r="D18" s="761">
        <f t="shared" ref="D18" si="31">SUM(J18,O18,T18,Y18)</f>
        <v>300</v>
      </c>
      <c r="E18" s="762">
        <f t="shared" ref="E18" si="32">SUM(K18,P18,U18,Z18)</f>
        <v>0</v>
      </c>
      <c r="F18" s="676">
        <f>SUM(B18:E18)</f>
        <v>775</v>
      </c>
      <c r="G18" s="340">
        <v>4</v>
      </c>
      <c r="H18" s="212">
        <v>151</v>
      </c>
      <c r="I18" s="212">
        <v>1</v>
      </c>
      <c r="J18" s="212">
        <v>84</v>
      </c>
      <c r="K18" s="212">
        <v>0</v>
      </c>
      <c r="L18" s="687">
        <f t="shared" si="26"/>
        <v>236</v>
      </c>
      <c r="M18" s="342">
        <f>125-2</f>
        <v>123</v>
      </c>
      <c r="N18" s="341">
        <v>0</v>
      </c>
      <c r="O18" s="341">
        <v>54</v>
      </c>
      <c r="P18" s="221">
        <v>0</v>
      </c>
      <c r="Q18" s="687">
        <f t="shared" si="27"/>
        <v>177</v>
      </c>
      <c r="R18" s="342">
        <v>179</v>
      </c>
      <c r="S18" s="341">
        <v>17</v>
      </c>
      <c r="T18" s="341">
        <v>159</v>
      </c>
      <c r="U18" s="341">
        <v>0</v>
      </c>
      <c r="V18" s="691">
        <f t="shared" si="13"/>
        <v>355</v>
      </c>
      <c r="W18" s="342">
        <v>4</v>
      </c>
      <c r="X18" s="341">
        <v>0</v>
      </c>
      <c r="Y18" s="341">
        <v>3</v>
      </c>
      <c r="Z18" s="341">
        <v>0</v>
      </c>
      <c r="AA18" s="691">
        <f t="shared" si="28"/>
        <v>7</v>
      </c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</row>
    <row r="19" spans="1:76" ht="20.100000000000001" customHeight="1" x14ac:dyDescent="0.25">
      <c r="A19" s="326">
        <v>44104</v>
      </c>
      <c r="B19" s="760">
        <f t="shared" si="22"/>
        <v>7108</v>
      </c>
      <c r="C19" s="761">
        <f t="shared" si="23"/>
        <v>54</v>
      </c>
      <c r="D19" s="761">
        <f t="shared" si="24"/>
        <v>224</v>
      </c>
      <c r="E19" s="762">
        <f t="shared" si="25"/>
        <v>0</v>
      </c>
      <c r="F19" s="676">
        <f t="shared" si="12"/>
        <v>7386</v>
      </c>
      <c r="G19" s="343">
        <f>31+6</f>
        <v>37</v>
      </c>
      <c r="H19" s="344">
        <f>2024+1-2</f>
        <v>2023</v>
      </c>
      <c r="I19" s="344">
        <f>12+8</f>
        <v>20</v>
      </c>
      <c r="J19" s="344">
        <v>65</v>
      </c>
      <c r="K19" s="344">
        <v>0</v>
      </c>
      <c r="L19" s="687">
        <f t="shared" si="26"/>
        <v>2108</v>
      </c>
      <c r="M19" s="345">
        <f>1290+4-1</f>
        <v>1293</v>
      </c>
      <c r="N19" s="344">
        <f>5+2</f>
        <v>7</v>
      </c>
      <c r="O19" s="344">
        <v>28</v>
      </c>
      <c r="P19" s="327">
        <v>0</v>
      </c>
      <c r="Q19" s="687">
        <f t="shared" si="27"/>
        <v>1328</v>
      </c>
      <c r="R19" s="345">
        <f>3679+4-3-5</f>
        <v>3675</v>
      </c>
      <c r="S19" s="344">
        <f>16+11</f>
        <v>27</v>
      </c>
      <c r="T19" s="344">
        <v>129</v>
      </c>
      <c r="U19" s="344">
        <v>0</v>
      </c>
      <c r="V19" s="691">
        <f t="shared" si="13"/>
        <v>3831</v>
      </c>
      <c r="W19" s="345">
        <f>112+5</f>
        <v>117</v>
      </c>
      <c r="X19" s="344">
        <v>0</v>
      </c>
      <c r="Y19" s="344">
        <v>2</v>
      </c>
      <c r="Z19" s="344">
        <v>0</v>
      </c>
      <c r="AA19" s="691">
        <f t="shared" si="28"/>
        <v>119</v>
      </c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</row>
    <row r="20" spans="1:76" ht="20.100000000000001" customHeight="1" x14ac:dyDescent="0.25">
      <c r="A20" s="326">
        <v>44105</v>
      </c>
      <c r="B20" s="760">
        <f t="shared" si="22"/>
        <v>3806</v>
      </c>
      <c r="C20" s="761">
        <f t="shared" si="23"/>
        <v>34</v>
      </c>
      <c r="D20" s="761">
        <f t="shared" si="24"/>
        <v>167</v>
      </c>
      <c r="E20" s="762">
        <f t="shared" si="25"/>
        <v>0</v>
      </c>
      <c r="F20" s="676">
        <f t="shared" si="12"/>
        <v>4007</v>
      </c>
      <c r="G20" s="217">
        <v>40</v>
      </c>
      <c r="H20" s="218">
        <f>1114-2</f>
        <v>1112</v>
      </c>
      <c r="I20" s="218">
        <v>12</v>
      </c>
      <c r="J20" s="218">
        <v>64</v>
      </c>
      <c r="K20" s="218">
        <v>0</v>
      </c>
      <c r="L20" s="687">
        <f t="shared" si="26"/>
        <v>1188</v>
      </c>
      <c r="M20" s="219">
        <f>742-4</f>
        <v>738</v>
      </c>
      <c r="N20" s="218">
        <v>0</v>
      </c>
      <c r="O20" s="218">
        <v>23</v>
      </c>
      <c r="P20" s="218">
        <v>0</v>
      </c>
      <c r="Q20" s="687">
        <f t="shared" si="27"/>
        <v>761</v>
      </c>
      <c r="R20" s="219">
        <f>1923-4-3</f>
        <v>1916</v>
      </c>
      <c r="S20" s="218">
        <v>22</v>
      </c>
      <c r="T20" s="218">
        <v>80</v>
      </c>
      <c r="U20" s="218">
        <v>0</v>
      </c>
      <c r="V20" s="691">
        <f t="shared" si="13"/>
        <v>2018</v>
      </c>
      <c r="W20" s="219">
        <f>37+3</f>
        <v>40</v>
      </c>
      <c r="X20" s="218">
        <v>0</v>
      </c>
      <c r="Y20" s="218">
        <v>0</v>
      </c>
      <c r="Z20" s="218">
        <v>0</v>
      </c>
      <c r="AA20" s="691">
        <f t="shared" si="28"/>
        <v>40</v>
      </c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</row>
    <row r="21" spans="1:76" ht="20.100000000000001" customHeight="1" x14ac:dyDescent="0.25">
      <c r="A21" s="326">
        <v>44106</v>
      </c>
      <c r="B21" s="760">
        <f t="shared" ref="B21" si="33">SUM(H21,M21,R21,W21)</f>
        <v>3610</v>
      </c>
      <c r="C21" s="761">
        <f t="shared" ref="C21" si="34">SUM(I21,N21,S21,X21)</f>
        <v>31</v>
      </c>
      <c r="D21" s="761">
        <f t="shared" ref="D21" si="35">SUM(J21,O21,T21,Y21)</f>
        <v>228</v>
      </c>
      <c r="E21" s="762">
        <f t="shared" ref="E21" si="36">SUM(K21,P21,U21,Z21)</f>
        <v>0</v>
      </c>
      <c r="F21" s="676">
        <f t="shared" ref="F21" si="37">SUM(B21:E21)</f>
        <v>3869</v>
      </c>
      <c r="G21" s="217">
        <f>51+10</f>
        <v>61</v>
      </c>
      <c r="H21" s="218">
        <f>1154-4</f>
        <v>1150</v>
      </c>
      <c r="I21" s="218">
        <v>12</v>
      </c>
      <c r="J21" s="218">
        <v>68</v>
      </c>
      <c r="K21" s="218">
        <v>0</v>
      </c>
      <c r="L21" s="687">
        <f t="shared" si="26"/>
        <v>1230</v>
      </c>
      <c r="M21" s="219">
        <f>665-2</f>
        <v>663</v>
      </c>
      <c r="N21" s="218">
        <v>4</v>
      </c>
      <c r="O21" s="218">
        <v>28</v>
      </c>
      <c r="P21" s="218">
        <v>0</v>
      </c>
      <c r="Q21" s="687">
        <f t="shared" si="27"/>
        <v>695</v>
      </c>
      <c r="R21" s="219">
        <f>1753-4-1</f>
        <v>1748</v>
      </c>
      <c r="S21" s="218">
        <v>15</v>
      </c>
      <c r="T21" s="218">
        <v>131</v>
      </c>
      <c r="U21" s="218">
        <v>0</v>
      </c>
      <c r="V21" s="691">
        <f t="shared" si="13"/>
        <v>1894</v>
      </c>
      <c r="W21" s="219">
        <v>49</v>
      </c>
      <c r="X21" s="218">
        <v>0</v>
      </c>
      <c r="Y21" s="218">
        <v>1</v>
      </c>
      <c r="Z21" s="218">
        <v>0</v>
      </c>
      <c r="AA21" s="691">
        <f t="shared" si="28"/>
        <v>50</v>
      </c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</row>
    <row r="22" spans="1:76" s="84" customFormat="1" ht="20.100000000000001" customHeight="1" x14ac:dyDescent="0.25">
      <c r="A22" s="326">
        <v>44107</v>
      </c>
      <c r="B22" s="760">
        <f t="shared" ref="B22" si="38">SUM(H22,M22,R22,W22)</f>
        <v>3608</v>
      </c>
      <c r="C22" s="761">
        <f t="shared" ref="C22" si="39">SUM(I22,N22,S22,X22)</f>
        <v>4</v>
      </c>
      <c r="D22" s="761">
        <f t="shared" ref="D22" si="40">SUM(J22,O22,T22,Y22)</f>
        <v>116</v>
      </c>
      <c r="E22" s="762">
        <f t="shared" ref="E22" si="41">SUM(K22,P22,U22,Z22)</f>
        <v>0</v>
      </c>
      <c r="F22" s="676">
        <f t="shared" si="12"/>
        <v>3728</v>
      </c>
      <c r="G22" s="217">
        <v>56</v>
      </c>
      <c r="H22" s="221">
        <v>1125</v>
      </c>
      <c r="I22" s="221">
        <v>1</v>
      </c>
      <c r="J22" s="221">
        <v>36</v>
      </c>
      <c r="K22" s="221">
        <v>0</v>
      </c>
      <c r="L22" s="687">
        <f t="shared" si="26"/>
        <v>1162</v>
      </c>
      <c r="M22" s="350">
        <v>638</v>
      </c>
      <c r="N22" s="111">
        <v>0</v>
      </c>
      <c r="O22" s="221">
        <v>23</v>
      </c>
      <c r="P22" s="221">
        <v>0</v>
      </c>
      <c r="Q22" s="687">
        <f t="shared" si="27"/>
        <v>661</v>
      </c>
      <c r="R22" s="221">
        <v>1781</v>
      </c>
      <c r="S22" s="221">
        <v>3</v>
      </c>
      <c r="T22" s="221">
        <v>57</v>
      </c>
      <c r="U22" s="221">
        <v>0</v>
      </c>
      <c r="V22" s="691">
        <f>SUM(R22:U22)</f>
        <v>1841</v>
      </c>
      <c r="W22" s="350">
        <f>63+1</f>
        <v>64</v>
      </c>
      <c r="X22" s="221">
        <v>0</v>
      </c>
      <c r="Y22" s="221">
        <v>0</v>
      </c>
      <c r="Z22" s="221">
        <v>0</v>
      </c>
      <c r="AA22" s="691">
        <f t="shared" si="28"/>
        <v>64</v>
      </c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</row>
    <row r="23" spans="1:76" ht="20.100000000000001" customHeight="1" x14ac:dyDescent="0.25">
      <c r="A23" s="325">
        <v>44108</v>
      </c>
      <c r="B23" s="763"/>
      <c r="C23" s="764"/>
      <c r="D23" s="764"/>
      <c r="E23" s="765"/>
      <c r="F23" s="677"/>
      <c r="G23" s="220"/>
      <c r="H23" s="328"/>
      <c r="I23" s="328"/>
      <c r="J23" s="328"/>
      <c r="K23" s="328"/>
      <c r="L23" s="688"/>
      <c r="M23" s="328"/>
      <c r="N23" s="328"/>
      <c r="O23" s="328"/>
      <c r="P23" s="328"/>
      <c r="Q23" s="688"/>
      <c r="R23" s="329"/>
      <c r="S23" s="328"/>
      <c r="T23" s="328"/>
      <c r="U23" s="328"/>
      <c r="V23" s="692"/>
      <c r="W23" s="329"/>
      <c r="X23" s="328"/>
      <c r="Y23" s="328"/>
      <c r="Z23" s="328"/>
      <c r="AA23" s="692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</row>
    <row r="24" spans="1:76" s="84" customFormat="1" ht="20.100000000000001" customHeight="1" x14ac:dyDescent="0.25">
      <c r="A24" s="326">
        <v>44109</v>
      </c>
      <c r="B24" s="766">
        <f t="shared" ref="B24" si="42">SUM(H24,M24,R24,W24)</f>
        <v>5628</v>
      </c>
      <c r="C24" s="767">
        <f t="shared" ref="C24" si="43">SUM(I24,N24,S24,X24)</f>
        <v>3</v>
      </c>
      <c r="D24" s="767">
        <f t="shared" ref="D24" si="44">SUM(J24,O24,T24,Y24)</f>
        <v>200</v>
      </c>
      <c r="E24" s="768">
        <f t="shared" ref="E24:E25" si="45">SUM(K24,P24,U24,Z24)</f>
        <v>0</v>
      </c>
      <c r="F24" s="676">
        <f t="shared" ref="F24" si="46">SUM(B24:E24)</f>
        <v>5831</v>
      </c>
      <c r="G24" s="217">
        <f>52+8</f>
        <v>60</v>
      </c>
      <c r="H24" s="221">
        <f>1755-2</f>
        <v>1753</v>
      </c>
      <c r="I24" s="221">
        <f>2-1</f>
        <v>1</v>
      </c>
      <c r="J24" s="221">
        <v>60</v>
      </c>
      <c r="K24" s="221">
        <v>0</v>
      </c>
      <c r="L24" s="687">
        <f t="shared" ref="L24:L29" si="47">SUM(H24:K24)</f>
        <v>1814</v>
      </c>
      <c r="M24" s="221">
        <f>1117-1</f>
        <v>1116</v>
      </c>
      <c r="N24" s="221">
        <v>0</v>
      </c>
      <c r="O24" s="221">
        <v>31</v>
      </c>
      <c r="P24" s="221">
        <v>0</v>
      </c>
      <c r="Q24" s="687">
        <f t="shared" ref="Q24:Q29" si="48">SUM(M24:P24)</f>
        <v>1147</v>
      </c>
      <c r="R24" s="350">
        <f>2697-5-1</f>
        <v>2691</v>
      </c>
      <c r="S24" s="221">
        <v>2</v>
      </c>
      <c r="T24" s="221">
        <v>107</v>
      </c>
      <c r="U24" s="221">
        <v>0</v>
      </c>
      <c r="V24" s="691">
        <f>SUM(R24:U24)</f>
        <v>2800</v>
      </c>
      <c r="W24" s="350">
        <f>72-5+1</f>
        <v>68</v>
      </c>
      <c r="X24" s="221">
        <v>0</v>
      </c>
      <c r="Y24" s="221">
        <v>2</v>
      </c>
      <c r="Z24" s="221">
        <v>0</v>
      </c>
      <c r="AA24" s="691">
        <f t="shared" ref="AA24:AA29" si="49">SUM(W24:Z24)</f>
        <v>70</v>
      </c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3"/>
      <c r="BK24" s="93"/>
      <c r="BL24" s="93"/>
      <c r="BM24" s="93"/>
      <c r="BN24" s="93"/>
      <c r="BO24" s="93"/>
      <c r="BP24" s="93"/>
      <c r="BQ24" s="93"/>
      <c r="BR24" s="93"/>
      <c r="BS24" s="93"/>
      <c r="BT24" s="93"/>
      <c r="BU24" s="93"/>
      <c r="BV24" s="93"/>
      <c r="BW24" s="93"/>
      <c r="BX24" s="93"/>
    </row>
    <row r="25" spans="1:76" ht="20.100000000000001" customHeight="1" x14ac:dyDescent="0.25">
      <c r="A25" s="326">
        <v>44110</v>
      </c>
      <c r="B25" s="766">
        <f t="shared" ref="B25:B26" si="50">SUM(H25,M25,R25,W25)</f>
        <v>434</v>
      </c>
      <c r="C25" s="767">
        <f t="shared" ref="C25:C26" si="51">SUM(I25,N25,S25,X25)</f>
        <v>55</v>
      </c>
      <c r="D25" s="767">
        <f t="shared" ref="D25:D26" si="52">SUM(J25,O25,T25,Y25)</f>
        <v>308</v>
      </c>
      <c r="E25" s="769">
        <f t="shared" si="45"/>
        <v>0</v>
      </c>
      <c r="F25" s="676">
        <f t="shared" si="12"/>
        <v>797</v>
      </c>
      <c r="G25" s="217">
        <v>25</v>
      </c>
      <c r="H25" s="223">
        <f>91-2</f>
        <v>89</v>
      </c>
      <c r="I25" s="223">
        <v>19</v>
      </c>
      <c r="J25" s="223">
        <v>95</v>
      </c>
      <c r="K25" s="223">
        <v>0</v>
      </c>
      <c r="L25" s="687">
        <f t="shared" si="47"/>
        <v>203</v>
      </c>
      <c r="M25" s="221">
        <v>128</v>
      </c>
      <c r="N25" s="221">
        <v>7</v>
      </c>
      <c r="O25" s="221">
        <v>58</v>
      </c>
      <c r="P25" s="221">
        <v>0</v>
      </c>
      <c r="Q25" s="687">
        <f t="shared" si="48"/>
        <v>193</v>
      </c>
      <c r="R25" s="350">
        <v>211</v>
      </c>
      <c r="S25" s="221">
        <v>26</v>
      </c>
      <c r="T25" s="221">
        <v>154</v>
      </c>
      <c r="U25" s="221">
        <v>0</v>
      </c>
      <c r="V25" s="691">
        <f t="shared" si="13"/>
        <v>391</v>
      </c>
      <c r="W25" s="350">
        <v>6</v>
      </c>
      <c r="X25" s="221">
        <v>3</v>
      </c>
      <c r="Y25" s="221">
        <v>1</v>
      </c>
      <c r="Z25" s="221">
        <v>0</v>
      </c>
      <c r="AA25" s="691">
        <f t="shared" si="49"/>
        <v>10</v>
      </c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</row>
    <row r="26" spans="1:76" ht="20.100000000000001" customHeight="1" x14ac:dyDescent="0.25">
      <c r="A26" s="326">
        <v>44111</v>
      </c>
      <c r="B26" s="766">
        <f t="shared" si="50"/>
        <v>5221</v>
      </c>
      <c r="C26" s="770">
        <f t="shared" si="51"/>
        <v>100</v>
      </c>
      <c r="D26" s="770">
        <f t="shared" si="52"/>
        <v>223</v>
      </c>
      <c r="E26" s="769">
        <v>0</v>
      </c>
      <c r="F26" s="676">
        <f t="shared" si="12"/>
        <v>5544</v>
      </c>
      <c r="G26" s="217">
        <f>5+14</f>
        <v>19</v>
      </c>
      <c r="H26" s="223">
        <f>1589-5</f>
        <v>1584</v>
      </c>
      <c r="I26" s="223">
        <v>43</v>
      </c>
      <c r="J26" s="223">
        <v>84</v>
      </c>
      <c r="K26" s="223">
        <v>0</v>
      </c>
      <c r="L26" s="687">
        <f t="shared" si="47"/>
        <v>1711</v>
      </c>
      <c r="M26" s="221">
        <f>1110-2</f>
        <v>1108</v>
      </c>
      <c r="N26" s="221">
        <v>13</v>
      </c>
      <c r="O26" s="221">
        <v>34</v>
      </c>
      <c r="P26" s="221">
        <v>0</v>
      </c>
      <c r="Q26" s="687">
        <f t="shared" si="48"/>
        <v>1155</v>
      </c>
      <c r="R26" s="350">
        <f>2431-7</f>
        <v>2424</v>
      </c>
      <c r="S26" s="221">
        <v>44</v>
      </c>
      <c r="T26" s="221">
        <v>105</v>
      </c>
      <c r="U26" s="221">
        <v>0</v>
      </c>
      <c r="V26" s="691">
        <f t="shared" si="13"/>
        <v>2573</v>
      </c>
      <c r="W26" s="350">
        <v>105</v>
      </c>
      <c r="X26" s="221">
        <v>0</v>
      </c>
      <c r="Y26" s="221">
        <v>0</v>
      </c>
      <c r="Z26" s="221">
        <v>0</v>
      </c>
      <c r="AA26" s="691">
        <f t="shared" si="49"/>
        <v>105</v>
      </c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</row>
    <row r="27" spans="1:76" s="84" customFormat="1" ht="20.100000000000001" customHeight="1" x14ac:dyDescent="0.25">
      <c r="A27" s="326">
        <v>44112</v>
      </c>
      <c r="B27" s="766">
        <f t="shared" ref="B27" si="53">SUM(H27,M27,R27,W27)</f>
        <v>3839</v>
      </c>
      <c r="C27" s="770">
        <f t="shared" ref="C27" si="54">SUM(I27,N27,S27,X27)</f>
        <v>49</v>
      </c>
      <c r="D27" s="770">
        <f t="shared" ref="D27" si="55">SUM(J27,O27,T27,Y27)</f>
        <v>244</v>
      </c>
      <c r="E27" s="769">
        <v>0</v>
      </c>
      <c r="F27" s="676">
        <f t="shared" si="12"/>
        <v>4132</v>
      </c>
      <c r="G27" s="217">
        <f>4+56</f>
        <v>60</v>
      </c>
      <c r="H27" s="225">
        <f>1206-1</f>
        <v>1205</v>
      </c>
      <c r="I27" s="225">
        <f>18-1</f>
        <v>17</v>
      </c>
      <c r="J27" s="225">
        <v>90</v>
      </c>
      <c r="K27" s="225">
        <v>0</v>
      </c>
      <c r="L27" s="687">
        <f t="shared" si="47"/>
        <v>1312</v>
      </c>
      <c r="M27" s="225">
        <f>745-1</f>
        <v>744</v>
      </c>
      <c r="N27" s="225">
        <v>9</v>
      </c>
      <c r="O27" s="225">
        <v>36</v>
      </c>
      <c r="P27" s="223">
        <v>0</v>
      </c>
      <c r="Q27" s="687">
        <f t="shared" si="48"/>
        <v>789</v>
      </c>
      <c r="R27" s="226">
        <f>1829-2-2</f>
        <v>1825</v>
      </c>
      <c r="S27" s="225">
        <v>23</v>
      </c>
      <c r="T27" s="225">
        <v>117</v>
      </c>
      <c r="U27" s="225">
        <v>0</v>
      </c>
      <c r="V27" s="691">
        <f t="shared" si="13"/>
        <v>1965</v>
      </c>
      <c r="W27" s="226">
        <f>63+2</f>
        <v>65</v>
      </c>
      <c r="X27" s="225">
        <v>0</v>
      </c>
      <c r="Y27" s="225">
        <v>1</v>
      </c>
      <c r="Z27" s="225">
        <v>0</v>
      </c>
      <c r="AA27" s="691">
        <f t="shared" si="49"/>
        <v>66</v>
      </c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</row>
    <row r="28" spans="1:76" ht="20.100000000000001" customHeight="1" x14ac:dyDescent="0.25">
      <c r="A28" s="326">
        <v>44113</v>
      </c>
      <c r="B28" s="766">
        <f t="shared" ref="B28" si="56">SUM(H28,M28,R28,W28)</f>
        <v>3450</v>
      </c>
      <c r="C28" s="770">
        <f t="shared" ref="C28" si="57">SUM(I28,N28,S28,X28)</f>
        <v>12</v>
      </c>
      <c r="D28" s="770">
        <f t="shared" ref="D28" si="58">SUM(J28,O28,T28,Y28)</f>
        <v>202</v>
      </c>
      <c r="E28" s="769">
        <v>0</v>
      </c>
      <c r="F28" s="676">
        <f t="shared" ref="F28:F29" si="59">SUM(B28:E28)</f>
        <v>3664</v>
      </c>
      <c r="G28" s="217">
        <v>36</v>
      </c>
      <c r="H28" s="72">
        <f>1011-1</f>
        <v>1010</v>
      </c>
      <c r="I28" s="72">
        <v>6</v>
      </c>
      <c r="J28" s="72">
        <v>62</v>
      </c>
      <c r="K28" s="72">
        <v>0</v>
      </c>
      <c r="L28" s="687">
        <f t="shared" si="47"/>
        <v>1078</v>
      </c>
      <c r="M28" s="72">
        <v>716</v>
      </c>
      <c r="N28" s="72">
        <v>1</v>
      </c>
      <c r="O28" s="72">
        <v>32</v>
      </c>
      <c r="P28" s="225">
        <v>0</v>
      </c>
      <c r="Q28" s="687">
        <f t="shared" si="48"/>
        <v>749</v>
      </c>
      <c r="R28" s="322">
        <v>1671</v>
      </c>
      <c r="S28" s="72">
        <v>5</v>
      </c>
      <c r="T28" s="72">
        <v>105</v>
      </c>
      <c r="U28" s="72">
        <v>0</v>
      </c>
      <c r="V28" s="691">
        <f t="shared" si="13"/>
        <v>1781</v>
      </c>
      <c r="W28" s="72">
        <v>53</v>
      </c>
      <c r="X28" s="72">
        <v>0</v>
      </c>
      <c r="Y28" s="72">
        <v>3</v>
      </c>
      <c r="Z28" s="72">
        <v>0</v>
      </c>
      <c r="AA28" s="691">
        <f t="shared" si="49"/>
        <v>56</v>
      </c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</row>
    <row r="29" spans="1:76" ht="20.100000000000001" customHeight="1" x14ac:dyDescent="0.25">
      <c r="A29" s="326">
        <v>44114</v>
      </c>
      <c r="B29" s="766">
        <f t="shared" ref="B29" si="60">SUM(H29,M29,R29,W29)</f>
        <v>2904</v>
      </c>
      <c r="C29" s="770">
        <f t="shared" ref="C29" si="61">SUM(I29,N29,S29,X29)</f>
        <v>182</v>
      </c>
      <c r="D29" s="770">
        <f t="shared" ref="D29" si="62">SUM(J29,O29,T29,Y29)</f>
        <v>173</v>
      </c>
      <c r="E29" s="769">
        <v>0</v>
      </c>
      <c r="F29" s="676">
        <f t="shared" si="59"/>
        <v>3259</v>
      </c>
      <c r="G29" s="217">
        <v>2</v>
      </c>
      <c r="H29" s="223">
        <v>965</v>
      </c>
      <c r="I29" s="223">
        <v>41</v>
      </c>
      <c r="J29" s="223">
        <v>57</v>
      </c>
      <c r="K29" s="223">
        <v>0</v>
      </c>
      <c r="L29" s="687">
        <f t="shared" si="47"/>
        <v>1063</v>
      </c>
      <c r="M29" s="223">
        <v>536</v>
      </c>
      <c r="N29" s="223">
        <v>75</v>
      </c>
      <c r="O29" s="223">
        <v>26</v>
      </c>
      <c r="P29" s="72">
        <v>0</v>
      </c>
      <c r="Q29" s="687">
        <f t="shared" si="48"/>
        <v>637</v>
      </c>
      <c r="R29" s="224">
        <f>1353-1</f>
        <v>1352</v>
      </c>
      <c r="S29" s="223">
        <v>66</v>
      </c>
      <c r="T29" s="223">
        <v>90</v>
      </c>
      <c r="U29" s="223">
        <v>0</v>
      </c>
      <c r="V29" s="691">
        <f t="shared" si="13"/>
        <v>1508</v>
      </c>
      <c r="W29" s="224">
        <f>50+1</f>
        <v>51</v>
      </c>
      <c r="X29" s="223">
        <v>0</v>
      </c>
      <c r="Y29" s="223">
        <v>0</v>
      </c>
      <c r="Z29" s="223">
        <v>0</v>
      </c>
      <c r="AA29" s="691">
        <f t="shared" si="49"/>
        <v>51</v>
      </c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</row>
    <row r="30" spans="1:76" ht="20.100000000000001" customHeight="1" x14ac:dyDescent="0.25">
      <c r="A30" s="325">
        <v>44115</v>
      </c>
      <c r="B30" s="771"/>
      <c r="C30" s="772"/>
      <c r="D30" s="772"/>
      <c r="E30" s="773"/>
      <c r="F30" s="678"/>
      <c r="G30" s="220"/>
      <c r="H30" s="222"/>
      <c r="I30" s="222"/>
      <c r="J30" s="222"/>
      <c r="K30" s="222"/>
      <c r="L30" s="688"/>
      <c r="M30" s="222"/>
      <c r="N30" s="222"/>
      <c r="O30" s="222"/>
      <c r="P30" s="222"/>
      <c r="Q30" s="688"/>
      <c r="R30" s="227"/>
      <c r="S30" s="222"/>
      <c r="T30" s="222"/>
      <c r="U30" s="222"/>
      <c r="V30" s="692"/>
      <c r="W30" s="227"/>
      <c r="X30" s="222"/>
      <c r="Y30" s="222"/>
      <c r="Z30" s="222"/>
      <c r="AA30" s="692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</row>
    <row r="31" spans="1:76" s="105" customFormat="1" ht="20.100000000000001" customHeight="1" x14ac:dyDescent="0.25">
      <c r="A31" s="325">
        <v>44116</v>
      </c>
      <c r="B31" s="774"/>
      <c r="C31" s="775"/>
      <c r="D31" s="775"/>
      <c r="E31" s="776"/>
      <c r="F31" s="679"/>
      <c r="G31" s="220"/>
      <c r="H31" s="222"/>
      <c r="I31" s="222"/>
      <c r="J31" s="222"/>
      <c r="K31" s="222"/>
      <c r="L31" s="688">
        <f t="shared" ref="L31:L36" si="63">SUM(H31:K31)</f>
        <v>0</v>
      </c>
      <c r="M31" s="222"/>
      <c r="N31" s="222"/>
      <c r="O31" s="222"/>
      <c r="P31" s="222"/>
      <c r="Q31" s="688">
        <f t="shared" ref="Q31:Q36" si="64">SUM(M31:P31)</f>
        <v>0</v>
      </c>
      <c r="R31" s="227"/>
      <c r="S31" s="222"/>
      <c r="T31" s="222"/>
      <c r="U31" s="222"/>
      <c r="V31" s="692">
        <f t="shared" si="13"/>
        <v>0</v>
      </c>
      <c r="W31" s="227"/>
      <c r="X31" s="222"/>
      <c r="Y31" s="222"/>
      <c r="Z31" s="222"/>
      <c r="AA31" s="692">
        <f t="shared" ref="AA31:AA36" si="65">SUM(W31:Z31)</f>
        <v>0</v>
      </c>
      <c r="AB31" s="572"/>
      <c r="AC31" s="572"/>
      <c r="AD31" s="572"/>
      <c r="AE31" s="572"/>
      <c r="AF31" s="572"/>
      <c r="AG31" s="572"/>
      <c r="AH31" s="572"/>
      <c r="AI31" s="572"/>
      <c r="AJ31" s="572"/>
      <c r="AK31" s="572"/>
      <c r="AL31" s="572"/>
      <c r="AM31" s="572"/>
      <c r="AN31" s="572"/>
      <c r="AO31" s="572"/>
      <c r="AP31" s="572"/>
      <c r="AQ31" s="572"/>
      <c r="AR31" s="572"/>
      <c r="AS31" s="572"/>
      <c r="AT31" s="572"/>
      <c r="AU31" s="572"/>
      <c r="AV31" s="572"/>
      <c r="AW31" s="572"/>
      <c r="AX31" s="572"/>
      <c r="AY31" s="572"/>
      <c r="AZ31" s="572"/>
      <c r="BA31" s="572"/>
      <c r="BB31" s="572"/>
      <c r="BC31" s="572"/>
      <c r="BD31" s="572"/>
      <c r="BE31" s="572"/>
      <c r="BF31" s="572"/>
      <c r="BG31" s="572"/>
      <c r="BH31" s="572"/>
      <c r="BI31" s="572"/>
      <c r="BJ31" s="572"/>
      <c r="BK31" s="572"/>
      <c r="BL31" s="572"/>
      <c r="BM31" s="572"/>
      <c r="BN31" s="572"/>
      <c r="BO31" s="572"/>
      <c r="BP31" s="572"/>
      <c r="BQ31" s="572"/>
      <c r="BR31" s="572"/>
      <c r="BS31" s="572"/>
      <c r="BT31" s="572"/>
      <c r="BU31" s="572"/>
      <c r="BV31" s="572"/>
      <c r="BW31" s="572"/>
      <c r="BX31" s="572"/>
    </row>
    <row r="32" spans="1:76" ht="20.100000000000001" customHeight="1" x14ac:dyDescent="0.25">
      <c r="A32" s="326">
        <v>44117</v>
      </c>
      <c r="B32" s="766">
        <f t="shared" ref="B32" si="66">SUM(H32,M32,R32,W32)</f>
        <v>5797</v>
      </c>
      <c r="C32" s="770">
        <f t="shared" ref="C32" si="67">SUM(I32,N32,S32,X32)</f>
        <v>111</v>
      </c>
      <c r="D32" s="770">
        <f t="shared" ref="D32" si="68">SUM(J32,O32,T32,Y32)</f>
        <v>83</v>
      </c>
      <c r="E32" s="769">
        <v>0</v>
      </c>
      <c r="F32" s="676">
        <f t="shared" ref="F32" si="69">SUM(B32:E32)</f>
        <v>5991</v>
      </c>
      <c r="G32" s="331">
        <f>94+5</f>
        <v>99</v>
      </c>
      <c r="H32" s="332">
        <v>1906</v>
      </c>
      <c r="I32" s="332">
        <v>41</v>
      </c>
      <c r="J32" s="332">
        <v>31</v>
      </c>
      <c r="K32" s="332">
        <v>0</v>
      </c>
      <c r="L32" s="687">
        <f t="shared" si="63"/>
        <v>1978</v>
      </c>
      <c r="M32" s="332">
        <v>1137</v>
      </c>
      <c r="N32" s="332">
        <v>20</v>
      </c>
      <c r="O32" s="332">
        <v>13</v>
      </c>
      <c r="P32" s="351">
        <v>0</v>
      </c>
      <c r="Q32" s="687">
        <f t="shared" si="64"/>
        <v>1170</v>
      </c>
      <c r="R32" s="333">
        <f>2692-1</f>
        <v>2691</v>
      </c>
      <c r="S32" s="332">
        <v>50</v>
      </c>
      <c r="T32" s="332">
        <v>39</v>
      </c>
      <c r="U32" s="332">
        <v>0</v>
      </c>
      <c r="V32" s="691">
        <f t="shared" si="13"/>
        <v>2780</v>
      </c>
      <c r="W32" s="333">
        <f>62+1</f>
        <v>63</v>
      </c>
      <c r="X32" s="332">
        <v>0</v>
      </c>
      <c r="Y32" s="332">
        <v>0</v>
      </c>
      <c r="Z32" s="332">
        <v>0</v>
      </c>
      <c r="AA32" s="691">
        <f t="shared" si="65"/>
        <v>63</v>
      </c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</row>
    <row r="33" spans="1:76" ht="20.100000000000001" customHeight="1" x14ac:dyDescent="0.25">
      <c r="A33" s="326">
        <v>44118</v>
      </c>
      <c r="B33" s="766">
        <f t="shared" ref="B33" si="70">SUM(H33,M33,R33,W33)</f>
        <v>236</v>
      </c>
      <c r="C33" s="770">
        <f t="shared" ref="C33" si="71">SUM(I33,N33,S33,X33)</f>
        <v>84</v>
      </c>
      <c r="D33" s="770">
        <f t="shared" ref="D33" si="72">SUM(J33,O33,T33,Y33)</f>
        <v>455</v>
      </c>
      <c r="E33" s="769">
        <v>0</v>
      </c>
      <c r="F33" s="676">
        <f>SUM(B33:E33)</f>
        <v>775</v>
      </c>
      <c r="G33" s="334">
        <f>3+23</f>
        <v>26</v>
      </c>
      <c r="H33" s="335">
        <v>56</v>
      </c>
      <c r="I33" s="335">
        <v>30</v>
      </c>
      <c r="J33" s="335">
        <v>164</v>
      </c>
      <c r="K33" s="335">
        <v>0</v>
      </c>
      <c r="L33" s="687">
        <f t="shared" si="63"/>
        <v>250</v>
      </c>
      <c r="M33" s="335">
        <v>74</v>
      </c>
      <c r="N33" s="335">
        <v>4</v>
      </c>
      <c r="O33" s="335">
        <v>67</v>
      </c>
      <c r="P33" s="351">
        <v>0</v>
      </c>
      <c r="Q33" s="687">
        <f t="shared" si="64"/>
        <v>145</v>
      </c>
      <c r="R33" s="336">
        <v>102</v>
      </c>
      <c r="S33" s="335">
        <v>50</v>
      </c>
      <c r="T33" s="335">
        <v>221</v>
      </c>
      <c r="U33" s="335">
        <v>0</v>
      </c>
      <c r="V33" s="691">
        <f>SUM(R33:U33)</f>
        <v>373</v>
      </c>
      <c r="W33" s="336">
        <v>4</v>
      </c>
      <c r="X33" s="335">
        <v>0</v>
      </c>
      <c r="Y33" s="335">
        <v>3</v>
      </c>
      <c r="Z33" s="335">
        <v>0</v>
      </c>
      <c r="AA33" s="691">
        <f t="shared" si="65"/>
        <v>7</v>
      </c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</row>
    <row r="34" spans="1:76" s="84" customFormat="1" ht="20.100000000000001" customHeight="1" x14ac:dyDescent="0.25">
      <c r="A34" s="326">
        <v>44119</v>
      </c>
      <c r="B34" s="766">
        <f t="shared" ref="B34" si="73">SUM(H34,M34,R34,W34)</f>
        <v>5434</v>
      </c>
      <c r="C34" s="770">
        <f t="shared" ref="C34" si="74">SUM(I34,N34,S34,X34)</f>
        <v>98</v>
      </c>
      <c r="D34" s="770">
        <f>SUM(J34,O34,T34,Y34)</f>
        <v>181</v>
      </c>
      <c r="E34" s="769">
        <f>SUM(K34,P34,U34,Z34)</f>
        <v>0</v>
      </c>
      <c r="F34" s="676">
        <f>SUM(B34:E34)</f>
        <v>5713</v>
      </c>
      <c r="G34" s="337">
        <v>2</v>
      </c>
      <c r="H34" s="338">
        <f>1618</f>
        <v>1618</v>
      </c>
      <c r="I34" s="338">
        <f>26+2</f>
        <v>28</v>
      </c>
      <c r="J34" s="338">
        <v>55</v>
      </c>
      <c r="K34" s="338">
        <v>0</v>
      </c>
      <c r="L34" s="687">
        <f t="shared" si="63"/>
        <v>1701</v>
      </c>
      <c r="M34" s="338">
        <v>1168</v>
      </c>
      <c r="N34" s="338">
        <v>13</v>
      </c>
      <c r="O34" s="338">
        <v>33</v>
      </c>
      <c r="P34" s="330">
        <v>0</v>
      </c>
      <c r="Q34" s="687">
        <f t="shared" si="64"/>
        <v>1214</v>
      </c>
      <c r="R34" s="339">
        <f>2551-2</f>
        <v>2549</v>
      </c>
      <c r="S34" s="338">
        <v>57</v>
      </c>
      <c r="T34" s="338">
        <v>93</v>
      </c>
      <c r="U34" s="338">
        <v>0</v>
      </c>
      <c r="V34" s="691">
        <f>SUM(R34:U34)</f>
        <v>2699</v>
      </c>
      <c r="W34" s="339">
        <f>97+2</f>
        <v>99</v>
      </c>
      <c r="X34" s="338">
        <v>0</v>
      </c>
      <c r="Y34" s="338">
        <v>0</v>
      </c>
      <c r="Z34" s="338">
        <v>0</v>
      </c>
      <c r="AA34" s="691">
        <f t="shared" si="65"/>
        <v>99</v>
      </c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93"/>
    </row>
    <row r="35" spans="1:76" ht="20.100000000000001" customHeight="1" x14ac:dyDescent="0.25">
      <c r="A35" s="326">
        <v>44120</v>
      </c>
      <c r="B35" s="766">
        <f t="shared" ref="B35" si="75">SUM(H35,M35,R35,W35)</f>
        <v>4765</v>
      </c>
      <c r="C35" s="770">
        <f t="shared" ref="C35" si="76">SUM(I35,N35,S35,X35)</f>
        <v>108</v>
      </c>
      <c r="D35" s="770">
        <f t="shared" ref="D35:E35" si="77">SUM(J35,O35,T35,Y35)</f>
        <v>307</v>
      </c>
      <c r="E35" s="769">
        <f t="shared" si="77"/>
        <v>0</v>
      </c>
      <c r="F35" s="676">
        <f>SUM(B35:E35)</f>
        <v>5180</v>
      </c>
      <c r="G35" s="217">
        <f>87+5</f>
        <v>92</v>
      </c>
      <c r="H35" s="225">
        <v>1567</v>
      </c>
      <c r="I35" s="225">
        <v>41</v>
      </c>
      <c r="J35" s="225">
        <v>110</v>
      </c>
      <c r="K35" s="225">
        <v>0</v>
      </c>
      <c r="L35" s="687">
        <f t="shared" si="63"/>
        <v>1718</v>
      </c>
      <c r="M35" s="225">
        <f>960-1</f>
        <v>959</v>
      </c>
      <c r="N35" s="225">
        <v>21</v>
      </c>
      <c r="O35" s="225">
        <v>58</v>
      </c>
      <c r="P35" s="225">
        <v>0</v>
      </c>
      <c r="Q35" s="687">
        <f t="shared" si="64"/>
        <v>1038</v>
      </c>
      <c r="R35" s="226">
        <f>2158-4-7</f>
        <v>2147</v>
      </c>
      <c r="S35" s="225">
        <v>46</v>
      </c>
      <c r="T35" s="225">
        <v>137</v>
      </c>
      <c r="U35" s="225">
        <v>0</v>
      </c>
      <c r="V35" s="691">
        <f>SUM(R35:U35)</f>
        <v>2330</v>
      </c>
      <c r="W35" s="226">
        <f>85+7</f>
        <v>92</v>
      </c>
      <c r="X35" s="225">
        <v>0</v>
      </c>
      <c r="Y35" s="225">
        <v>2</v>
      </c>
      <c r="Z35" s="225">
        <v>0</v>
      </c>
      <c r="AA35" s="691">
        <f t="shared" si="65"/>
        <v>94</v>
      </c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</row>
    <row r="36" spans="1:76" s="84" customFormat="1" ht="20.100000000000001" customHeight="1" x14ac:dyDescent="0.25">
      <c r="A36" s="326">
        <v>44121</v>
      </c>
      <c r="B36" s="766">
        <f>SUM(H36,M36,R36,W36)</f>
        <v>3769</v>
      </c>
      <c r="C36" s="770">
        <f>SUM(I36,N36,S36,X36)</f>
        <v>6</v>
      </c>
      <c r="D36" s="770">
        <f t="shared" ref="D36:E36" si="78">SUM(J36,O36,T36,Y36)</f>
        <v>100</v>
      </c>
      <c r="E36" s="769">
        <f t="shared" si="78"/>
        <v>0</v>
      </c>
      <c r="F36" s="676">
        <f>SUM(B36:E36)</f>
        <v>3875</v>
      </c>
      <c r="G36" s="217">
        <v>41</v>
      </c>
      <c r="H36" s="223">
        <f>1117-1</f>
        <v>1116</v>
      </c>
      <c r="I36" s="223">
        <v>0</v>
      </c>
      <c r="J36" s="223">
        <f>11+26</f>
        <v>37</v>
      </c>
      <c r="K36" s="223">
        <v>0</v>
      </c>
      <c r="L36" s="687">
        <f t="shared" si="63"/>
        <v>1153</v>
      </c>
      <c r="M36" s="223">
        <f>715-1</f>
        <v>714</v>
      </c>
      <c r="N36" s="223">
        <v>0</v>
      </c>
      <c r="O36" s="223">
        <f>2+13</f>
        <v>15</v>
      </c>
      <c r="P36" s="223">
        <v>0</v>
      </c>
      <c r="Q36" s="687">
        <f t="shared" si="64"/>
        <v>729</v>
      </c>
      <c r="R36" s="224">
        <f>1683-2-2</f>
        <v>1679</v>
      </c>
      <c r="S36" s="223">
        <v>6</v>
      </c>
      <c r="T36" s="223">
        <f>21+27</f>
        <v>48</v>
      </c>
      <c r="U36" s="223">
        <v>0</v>
      </c>
      <c r="V36" s="691">
        <f>SUM(R36:U36)</f>
        <v>1733</v>
      </c>
      <c r="W36" s="224">
        <f>258+2</f>
        <v>260</v>
      </c>
      <c r="X36" s="223">
        <v>0</v>
      </c>
      <c r="Y36" s="223">
        <v>0</v>
      </c>
      <c r="Z36" s="223">
        <v>0</v>
      </c>
      <c r="AA36" s="691">
        <f t="shared" si="65"/>
        <v>260</v>
      </c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</row>
    <row r="37" spans="1:76" ht="20.100000000000001" customHeight="1" x14ac:dyDescent="0.25">
      <c r="A37" s="326">
        <v>44122</v>
      </c>
      <c r="B37" s="777"/>
      <c r="C37" s="778"/>
      <c r="D37" s="778"/>
      <c r="E37" s="779"/>
      <c r="F37" s="677"/>
      <c r="G37" s="220"/>
      <c r="H37" s="222"/>
      <c r="I37" s="222"/>
      <c r="J37" s="222"/>
      <c r="K37" s="222"/>
      <c r="L37" s="688"/>
      <c r="M37" s="222"/>
      <c r="N37" s="222"/>
      <c r="O37" s="222"/>
      <c r="P37" s="222"/>
      <c r="Q37" s="688"/>
      <c r="R37" s="227"/>
      <c r="S37" s="222"/>
      <c r="T37" s="222"/>
      <c r="U37" s="222"/>
      <c r="V37" s="692"/>
      <c r="W37" s="227"/>
      <c r="X37" s="222"/>
      <c r="Y37" s="222"/>
      <c r="Z37" s="222"/>
      <c r="AA37" s="692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</row>
    <row r="38" spans="1:76" ht="20.100000000000001" customHeight="1" x14ac:dyDescent="0.25">
      <c r="A38" s="326">
        <v>44123</v>
      </c>
      <c r="B38" s="766">
        <f t="shared" ref="B38:B39" si="79">SUM(H38,M38,R38,W38)</f>
        <v>5284</v>
      </c>
      <c r="C38" s="770">
        <f t="shared" ref="C38:C39" si="80">SUM(I38,N38,S38,X38)</f>
        <v>222</v>
      </c>
      <c r="D38" s="770">
        <f t="shared" ref="D38:E39" si="81">SUM(J38,O38,T38,Y38)</f>
        <v>205</v>
      </c>
      <c r="E38" s="769">
        <f t="shared" si="81"/>
        <v>0</v>
      </c>
      <c r="F38" s="676">
        <f t="shared" ref="F38" si="82">SUM(B38:E38)</f>
        <v>5711</v>
      </c>
      <c r="G38" s="217">
        <f>5+35</f>
        <v>40</v>
      </c>
      <c r="H38" s="225">
        <f>1595-2</f>
        <v>1593</v>
      </c>
      <c r="I38" s="225">
        <v>66</v>
      </c>
      <c r="J38" s="225">
        <v>61</v>
      </c>
      <c r="K38" s="225">
        <v>0</v>
      </c>
      <c r="L38" s="687">
        <f t="shared" ref="L38:L43" si="83">SUM(H38:K38)</f>
        <v>1720</v>
      </c>
      <c r="M38" s="225">
        <v>1342</v>
      </c>
      <c r="N38" s="225">
        <v>41</v>
      </c>
      <c r="O38" s="225">
        <v>41</v>
      </c>
      <c r="P38" s="225">
        <v>0</v>
      </c>
      <c r="Q38" s="687">
        <f t="shared" ref="Q38:Q43" si="84">SUM(M38:P38)</f>
        <v>1424</v>
      </c>
      <c r="R38" s="226">
        <f>2292-3</f>
        <v>2289</v>
      </c>
      <c r="S38" s="225">
        <v>113</v>
      </c>
      <c r="T38" s="225">
        <v>103</v>
      </c>
      <c r="U38" s="225">
        <v>0</v>
      </c>
      <c r="V38" s="691">
        <f t="shared" ref="V38:V56" si="85">SUM(R38:U38)</f>
        <v>2505</v>
      </c>
      <c r="W38" s="226">
        <v>60</v>
      </c>
      <c r="X38" s="225">
        <v>2</v>
      </c>
      <c r="Y38" s="225">
        <v>0</v>
      </c>
      <c r="Z38" s="225">
        <v>0</v>
      </c>
      <c r="AA38" s="691">
        <f t="shared" ref="AA38:AA56" si="86">SUM(W38:Z38)</f>
        <v>62</v>
      </c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</row>
    <row r="39" spans="1:76" s="111" customFormat="1" ht="20.100000000000001" customHeight="1" x14ac:dyDescent="0.25">
      <c r="A39" s="326">
        <v>44124</v>
      </c>
      <c r="B39" s="766">
        <f t="shared" si="79"/>
        <v>310</v>
      </c>
      <c r="C39" s="770">
        <f t="shared" si="80"/>
        <v>26</v>
      </c>
      <c r="D39" s="770">
        <f t="shared" si="81"/>
        <v>370</v>
      </c>
      <c r="E39" s="769">
        <f t="shared" si="81"/>
        <v>0</v>
      </c>
      <c r="F39" s="676">
        <f>SUM(B39:E39)</f>
        <v>706</v>
      </c>
      <c r="G39" s="340">
        <v>5</v>
      </c>
      <c r="H39" s="111">
        <f>122-4</f>
        <v>118</v>
      </c>
      <c r="I39" s="346">
        <v>8</v>
      </c>
      <c r="J39" s="346">
        <v>111</v>
      </c>
      <c r="K39" s="346">
        <v>0</v>
      </c>
      <c r="L39" s="687">
        <f t="shared" si="83"/>
        <v>237</v>
      </c>
      <c r="M39" s="346">
        <v>70</v>
      </c>
      <c r="N39" s="346">
        <v>0</v>
      </c>
      <c r="O39" s="346">
        <v>78</v>
      </c>
      <c r="P39" s="346">
        <v>0</v>
      </c>
      <c r="Q39" s="687">
        <f t="shared" si="84"/>
        <v>148</v>
      </c>
      <c r="R39" s="347">
        <f>120-1</f>
        <v>119</v>
      </c>
      <c r="S39" s="346">
        <v>18</v>
      </c>
      <c r="T39" s="346">
        <v>175</v>
      </c>
      <c r="U39" s="346">
        <v>0</v>
      </c>
      <c r="V39" s="691">
        <f t="shared" si="85"/>
        <v>312</v>
      </c>
      <c r="W39" s="347">
        <v>3</v>
      </c>
      <c r="X39" s="346">
        <v>0</v>
      </c>
      <c r="Y39" s="346">
        <v>6</v>
      </c>
      <c r="Z39" s="346">
        <v>0</v>
      </c>
      <c r="AA39" s="691">
        <f t="shared" si="86"/>
        <v>9</v>
      </c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N39" s="116"/>
      <c r="BO39" s="116"/>
      <c r="BP39" s="116"/>
      <c r="BQ39" s="116"/>
      <c r="BR39" s="116"/>
      <c r="BS39" s="116"/>
      <c r="BT39" s="116"/>
      <c r="BU39" s="116"/>
      <c r="BV39" s="116"/>
      <c r="BW39" s="116"/>
      <c r="BX39" s="116"/>
    </row>
    <row r="40" spans="1:76" ht="20.100000000000001" customHeight="1" x14ac:dyDescent="0.25">
      <c r="A40" s="326">
        <v>44125</v>
      </c>
      <c r="B40" s="766">
        <f t="shared" ref="B40" si="87">SUM(H40,M40,R40,W40)</f>
        <v>4156</v>
      </c>
      <c r="C40" s="770">
        <f t="shared" ref="C40" si="88">SUM(I40,N40,S40,X40)</f>
        <v>107</v>
      </c>
      <c r="D40" s="770">
        <f t="shared" ref="D40:E40" si="89">SUM(J40,O40,T40,Y40)</f>
        <v>201</v>
      </c>
      <c r="E40" s="769">
        <f t="shared" si="89"/>
        <v>0</v>
      </c>
      <c r="F40" s="676">
        <f>SUM(B40:E40)</f>
        <v>4464</v>
      </c>
      <c r="G40" s="343">
        <v>31</v>
      </c>
      <c r="H40" s="348">
        <f>1217-4</f>
        <v>1213</v>
      </c>
      <c r="I40" s="348">
        <v>20</v>
      </c>
      <c r="J40" s="348">
        <v>65</v>
      </c>
      <c r="K40" s="348">
        <v>0</v>
      </c>
      <c r="L40" s="687">
        <f t="shared" si="83"/>
        <v>1298</v>
      </c>
      <c r="M40" s="348">
        <f>834-1</f>
        <v>833</v>
      </c>
      <c r="N40" s="348">
        <v>15</v>
      </c>
      <c r="O40" s="348">
        <v>29</v>
      </c>
      <c r="P40" s="348">
        <v>0</v>
      </c>
      <c r="Q40" s="687">
        <f t="shared" si="84"/>
        <v>877</v>
      </c>
      <c r="R40" s="349">
        <f>2045-5</f>
        <v>2040</v>
      </c>
      <c r="S40" s="348">
        <v>71</v>
      </c>
      <c r="T40" s="348">
        <v>103</v>
      </c>
      <c r="U40" s="348">
        <v>0</v>
      </c>
      <c r="V40" s="691">
        <f t="shared" si="85"/>
        <v>2214</v>
      </c>
      <c r="W40" s="349">
        <v>70</v>
      </c>
      <c r="X40" s="348">
        <v>1</v>
      </c>
      <c r="Y40" s="348">
        <v>4</v>
      </c>
      <c r="Z40" s="348">
        <v>0</v>
      </c>
      <c r="AA40" s="691">
        <f t="shared" si="86"/>
        <v>75</v>
      </c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</row>
    <row r="41" spans="1:76" ht="20.100000000000001" customHeight="1" x14ac:dyDescent="0.25">
      <c r="A41" s="326">
        <v>44126</v>
      </c>
      <c r="B41" s="766">
        <f t="shared" ref="B41:B42" si="90">SUM(H41,M41,R41,W41)</f>
        <v>3161</v>
      </c>
      <c r="C41" s="770">
        <f t="shared" ref="C41:C42" si="91">SUM(I41,N41,S41,X41)</f>
        <v>16</v>
      </c>
      <c r="D41" s="770">
        <f t="shared" ref="D41:D42" si="92">SUM(J41,O41,T41,Y41)</f>
        <v>123</v>
      </c>
      <c r="E41" s="769">
        <f t="shared" ref="E41:E42" si="93">SUM(K41,P41,U41,Z41)</f>
        <v>0</v>
      </c>
      <c r="F41" s="676">
        <f>SUM(B41:E41)</f>
        <v>3300</v>
      </c>
      <c r="G41" s="217">
        <v>5</v>
      </c>
      <c r="H41" s="225">
        <v>957</v>
      </c>
      <c r="I41" s="225">
        <v>3</v>
      </c>
      <c r="J41" s="225">
        <v>56</v>
      </c>
      <c r="K41" s="225">
        <v>0</v>
      </c>
      <c r="L41" s="687">
        <f t="shared" si="83"/>
        <v>1016</v>
      </c>
      <c r="M41" s="225">
        <v>650</v>
      </c>
      <c r="N41" s="225">
        <v>7</v>
      </c>
      <c r="O41" s="225">
        <v>16</v>
      </c>
      <c r="P41" s="225">
        <v>0</v>
      </c>
      <c r="Q41" s="687">
        <f t="shared" si="84"/>
        <v>673</v>
      </c>
      <c r="R41" s="226">
        <v>1497</v>
      </c>
      <c r="S41" s="225">
        <v>6</v>
      </c>
      <c r="T41" s="225">
        <v>49</v>
      </c>
      <c r="U41" s="225">
        <v>0</v>
      </c>
      <c r="V41" s="691">
        <f t="shared" si="85"/>
        <v>1552</v>
      </c>
      <c r="W41" s="226">
        <v>57</v>
      </c>
      <c r="X41" s="225">
        <v>0</v>
      </c>
      <c r="Y41" s="225">
        <v>2</v>
      </c>
      <c r="Z41" s="225">
        <v>0</v>
      </c>
      <c r="AA41" s="691">
        <f t="shared" si="86"/>
        <v>59</v>
      </c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</row>
    <row r="42" spans="1:76" ht="20.100000000000001" customHeight="1" x14ac:dyDescent="0.25">
      <c r="A42" s="326">
        <v>44127</v>
      </c>
      <c r="B42" s="780">
        <f t="shared" si="90"/>
        <v>3007</v>
      </c>
      <c r="C42" s="770">
        <f t="shared" si="91"/>
        <v>146</v>
      </c>
      <c r="D42" s="770">
        <f t="shared" si="92"/>
        <v>281</v>
      </c>
      <c r="E42" s="769">
        <f t="shared" si="93"/>
        <v>0</v>
      </c>
      <c r="F42" s="676">
        <f>SUM(B42:E42)</f>
        <v>3434</v>
      </c>
      <c r="G42" s="217">
        <f>16+6</f>
        <v>22</v>
      </c>
      <c r="H42" s="223">
        <f>901-2</f>
        <v>899</v>
      </c>
      <c r="I42" s="223">
        <v>45</v>
      </c>
      <c r="J42" s="223">
        <v>97</v>
      </c>
      <c r="K42" s="223">
        <v>0</v>
      </c>
      <c r="L42" s="687">
        <f t="shared" si="83"/>
        <v>1041</v>
      </c>
      <c r="M42" s="223">
        <f>668-1</f>
        <v>667</v>
      </c>
      <c r="N42" s="223">
        <v>22</v>
      </c>
      <c r="O42" s="223">
        <v>50</v>
      </c>
      <c r="P42" s="223">
        <v>0</v>
      </c>
      <c r="Q42" s="687">
        <f t="shared" si="84"/>
        <v>739</v>
      </c>
      <c r="R42" s="224">
        <f>1394-3</f>
        <v>1391</v>
      </c>
      <c r="S42" s="223">
        <v>77</v>
      </c>
      <c r="T42" s="223">
        <v>130</v>
      </c>
      <c r="U42" s="223">
        <v>0</v>
      </c>
      <c r="V42" s="691">
        <f t="shared" si="85"/>
        <v>1598</v>
      </c>
      <c r="W42" s="224">
        <v>50</v>
      </c>
      <c r="X42" s="223">
        <v>2</v>
      </c>
      <c r="Y42" s="223">
        <v>4</v>
      </c>
      <c r="Z42" s="223">
        <v>0</v>
      </c>
      <c r="AA42" s="691">
        <f t="shared" si="86"/>
        <v>56</v>
      </c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</row>
    <row r="43" spans="1:76" ht="20.100000000000001" customHeight="1" x14ac:dyDescent="0.25">
      <c r="A43" s="326">
        <v>44128</v>
      </c>
      <c r="B43" s="780">
        <f>SUM(H43,M43,R43,W43)</f>
        <v>2802</v>
      </c>
      <c r="C43" s="770">
        <f>SUM(I43,N43,S43,X43)</f>
        <v>26</v>
      </c>
      <c r="D43" s="770">
        <f>SUM(J43,O43,T43,Y43)</f>
        <v>24</v>
      </c>
      <c r="E43" s="769">
        <f>SUM(K43,P43,U43,Z43)</f>
        <v>0</v>
      </c>
      <c r="F43" s="676">
        <f>SUM(B43:E43)</f>
        <v>2852</v>
      </c>
      <c r="G43" s="217">
        <f>20+8</f>
        <v>28</v>
      </c>
      <c r="H43" s="225">
        <f>871-4</f>
        <v>867</v>
      </c>
      <c r="I43" s="225">
        <v>7</v>
      </c>
      <c r="J43" s="225">
        <v>11</v>
      </c>
      <c r="K43" s="225">
        <v>0</v>
      </c>
      <c r="L43" s="687">
        <f t="shared" si="83"/>
        <v>885</v>
      </c>
      <c r="M43" s="225">
        <f>579-1</f>
        <v>578</v>
      </c>
      <c r="N43" s="225">
        <v>0</v>
      </c>
      <c r="O43" s="225">
        <v>2</v>
      </c>
      <c r="P43" s="225">
        <v>0</v>
      </c>
      <c r="Q43" s="687">
        <f t="shared" si="84"/>
        <v>580</v>
      </c>
      <c r="R43" s="226">
        <f>1316-3</f>
        <v>1313</v>
      </c>
      <c r="S43" s="225">
        <v>19</v>
      </c>
      <c r="T43" s="225">
        <v>10</v>
      </c>
      <c r="U43" s="225">
        <v>0</v>
      </c>
      <c r="V43" s="691">
        <f>SUM(R43:U43)</f>
        <v>1342</v>
      </c>
      <c r="W43" s="226">
        <v>44</v>
      </c>
      <c r="X43" s="225">
        <v>0</v>
      </c>
      <c r="Y43" s="225">
        <v>1</v>
      </c>
      <c r="Z43" s="225">
        <v>0</v>
      </c>
      <c r="AA43" s="691">
        <f>SUM(W43:Z43)</f>
        <v>45</v>
      </c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</row>
    <row r="44" spans="1:76" ht="20.100000000000001" customHeight="1" x14ac:dyDescent="0.25">
      <c r="A44" s="325"/>
      <c r="B44" s="781"/>
      <c r="C44" s="778"/>
      <c r="D44" s="778"/>
      <c r="E44" s="779"/>
      <c r="F44" s="677"/>
      <c r="G44" s="220"/>
      <c r="H44" s="222"/>
      <c r="I44" s="222"/>
      <c r="J44" s="222"/>
      <c r="K44" s="222"/>
      <c r="L44" s="688"/>
      <c r="M44" s="222"/>
      <c r="N44" s="222"/>
      <c r="O44" s="222"/>
      <c r="P44" s="222"/>
      <c r="Q44" s="688"/>
      <c r="R44" s="227"/>
      <c r="S44" s="222"/>
      <c r="T44" s="222"/>
      <c r="U44" s="222"/>
      <c r="V44" s="692"/>
      <c r="W44" s="227"/>
      <c r="X44" s="222"/>
      <c r="Y44" s="222"/>
      <c r="Z44" s="222"/>
      <c r="AA44" s="692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</row>
    <row r="45" spans="1:76" ht="20.100000000000001" customHeight="1" x14ac:dyDescent="0.25">
      <c r="A45" s="326">
        <v>44130</v>
      </c>
      <c r="B45" s="780">
        <f t="shared" ref="B45:B46" si="94">SUM(H45,M45,R45,W45)</f>
        <v>4832</v>
      </c>
      <c r="C45" s="770">
        <f t="shared" ref="C45:C46" si="95">SUM(I45,N45,S45,X45)</f>
        <v>137</v>
      </c>
      <c r="D45" s="770">
        <f t="shared" ref="D45:D46" si="96">SUM(J45,O45,T45,Y45)</f>
        <v>200</v>
      </c>
      <c r="E45" s="769">
        <f t="shared" ref="E45:E46" si="97">SUM(K45,P45,U45,Z45)</f>
        <v>0</v>
      </c>
      <c r="F45" s="676">
        <f t="shared" ref="F45" si="98">SUM(B45:E45)</f>
        <v>5169</v>
      </c>
      <c r="G45" s="217">
        <v>37</v>
      </c>
      <c r="H45" s="223">
        <f>1448-2</f>
        <v>1446</v>
      </c>
      <c r="I45" s="223">
        <v>57</v>
      </c>
      <c r="J45" s="223">
        <v>58</v>
      </c>
      <c r="K45" s="223">
        <v>0</v>
      </c>
      <c r="L45" s="687">
        <f t="shared" ref="L45" si="99">SUM(H45:K45)</f>
        <v>1561</v>
      </c>
      <c r="M45" s="223">
        <f>986-1</f>
        <v>985</v>
      </c>
      <c r="N45" s="223">
        <v>19</v>
      </c>
      <c r="O45" s="223">
        <v>32</v>
      </c>
      <c r="P45" s="223">
        <v>0</v>
      </c>
      <c r="Q45" s="687">
        <f t="shared" ref="Q45" si="100">SUM(M45:P45)</f>
        <v>1036</v>
      </c>
      <c r="R45" s="224">
        <f>2322-4</f>
        <v>2318</v>
      </c>
      <c r="S45" s="223">
        <v>60</v>
      </c>
      <c r="T45" s="223">
        <v>107</v>
      </c>
      <c r="U45" s="223">
        <v>0</v>
      </c>
      <c r="V45" s="691">
        <f t="shared" ref="V45" si="101">SUM(R45:U45)</f>
        <v>2485</v>
      </c>
      <c r="W45" s="224">
        <v>83</v>
      </c>
      <c r="X45" s="223">
        <v>1</v>
      </c>
      <c r="Y45" s="223">
        <v>3</v>
      </c>
      <c r="Z45" s="223">
        <v>0</v>
      </c>
      <c r="AA45" s="691">
        <f t="shared" ref="AA45" si="102">SUM(W45:Z45)</f>
        <v>87</v>
      </c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</row>
    <row r="46" spans="1:76" ht="20.100000000000001" customHeight="1" x14ac:dyDescent="0.25">
      <c r="A46" s="326">
        <v>44131</v>
      </c>
      <c r="B46" s="780">
        <f t="shared" si="94"/>
        <v>386</v>
      </c>
      <c r="C46" s="770">
        <f t="shared" si="95"/>
        <v>52</v>
      </c>
      <c r="D46" s="770">
        <f t="shared" si="96"/>
        <v>284</v>
      </c>
      <c r="E46" s="769">
        <f t="shared" si="97"/>
        <v>0</v>
      </c>
      <c r="F46" s="676">
        <f t="shared" ref="F46:F50" si="103">SUM(B46:E46)</f>
        <v>722</v>
      </c>
      <c r="G46" s="217">
        <v>38</v>
      </c>
      <c r="H46" s="223">
        <f>112-2</f>
        <v>110</v>
      </c>
      <c r="I46" s="223">
        <v>26</v>
      </c>
      <c r="J46" s="223">
        <v>94</v>
      </c>
      <c r="K46" s="223">
        <v>0</v>
      </c>
      <c r="L46" s="687">
        <f t="shared" ref="L46:L50" si="104">SUM(H46:K46)</f>
        <v>230</v>
      </c>
      <c r="M46" s="223">
        <f>112-1</f>
        <v>111</v>
      </c>
      <c r="N46" s="223">
        <v>12</v>
      </c>
      <c r="O46" s="223">
        <v>55</v>
      </c>
      <c r="P46" s="223">
        <v>0</v>
      </c>
      <c r="Q46" s="687">
        <f t="shared" ref="Q46:Q50" si="105">SUM(M46:P46)</f>
        <v>178</v>
      </c>
      <c r="R46" s="224">
        <v>163</v>
      </c>
      <c r="S46" s="223">
        <v>14</v>
      </c>
      <c r="T46" s="223">
        <v>134</v>
      </c>
      <c r="U46" s="223">
        <v>0</v>
      </c>
      <c r="V46" s="691">
        <f t="shared" si="85"/>
        <v>311</v>
      </c>
      <c r="W46" s="224">
        <v>2</v>
      </c>
      <c r="X46" s="223">
        <v>0</v>
      </c>
      <c r="Y46" s="223">
        <v>1</v>
      </c>
      <c r="Z46" s="223">
        <v>0</v>
      </c>
      <c r="AA46" s="691">
        <f t="shared" si="86"/>
        <v>3</v>
      </c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</row>
    <row r="47" spans="1:76" ht="20.100000000000001" customHeight="1" x14ac:dyDescent="0.25">
      <c r="A47" s="326">
        <v>44132</v>
      </c>
      <c r="B47" s="780">
        <f t="shared" ref="B47:B50" si="106">SUM(H47,M47,R47,W47)</f>
        <v>4140</v>
      </c>
      <c r="C47" s="770">
        <f t="shared" ref="C47:C50" si="107">SUM(I47,N47,S47,X47)</f>
        <v>73</v>
      </c>
      <c r="D47" s="770">
        <f t="shared" ref="D47:D50" si="108">SUM(J47,O47,T47,Y47)</f>
        <v>152</v>
      </c>
      <c r="E47" s="769">
        <f t="shared" ref="E47:E50" si="109">SUM(K47,P47,U47,Z47)</f>
        <v>0</v>
      </c>
      <c r="F47" s="676">
        <f t="shared" ref="F47" si="110">SUM(B47:E47)</f>
        <v>4365</v>
      </c>
      <c r="G47" s="217">
        <v>16</v>
      </c>
      <c r="H47" s="223">
        <v>1254</v>
      </c>
      <c r="I47" s="223">
        <v>22</v>
      </c>
      <c r="J47" s="223">
        <v>42</v>
      </c>
      <c r="K47" s="223">
        <v>0</v>
      </c>
      <c r="L47" s="687">
        <f t="shared" si="104"/>
        <v>1318</v>
      </c>
      <c r="M47" s="223">
        <v>827</v>
      </c>
      <c r="N47" s="223">
        <v>12</v>
      </c>
      <c r="O47" s="223">
        <v>31</v>
      </c>
      <c r="P47" s="223">
        <v>0</v>
      </c>
      <c r="Q47" s="687">
        <f t="shared" si="105"/>
        <v>870</v>
      </c>
      <c r="R47" s="224">
        <v>1993</v>
      </c>
      <c r="S47" s="223">
        <v>38</v>
      </c>
      <c r="T47" s="223">
        <v>77</v>
      </c>
      <c r="U47" s="223">
        <v>0</v>
      </c>
      <c r="V47" s="691">
        <f t="shared" si="85"/>
        <v>2108</v>
      </c>
      <c r="W47" s="224">
        <v>66</v>
      </c>
      <c r="X47" s="223">
        <v>1</v>
      </c>
      <c r="Y47" s="223">
        <v>2</v>
      </c>
      <c r="Z47" s="223">
        <v>0</v>
      </c>
      <c r="AA47" s="691">
        <f t="shared" si="86"/>
        <v>69</v>
      </c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</row>
    <row r="48" spans="1:76" ht="20.100000000000001" customHeight="1" x14ac:dyDescent="0.25">
      <c r="A48" s="326">
        <v>44133</v>
      </c>
      <c r="B48" s="780">
        <f t="shared" si="106"/>
        <v>3201</v>
      </c>
      <c r="C48" s="770">
        <f t="shared" si="107"/>
        <v>74</v>
      </c>
      <c r="D48" s="770">
        <f t="shared" si="108"/>
        <v>158</v>
      </c>
      <c r="E48" s="769">
        <f t="shared" si="109"/>
        <v>0</v>
      </c>
      <c r="F48" s="676">
        <f t="shared" si="103"/>
        <v>3433</v>
      </c>
      <c r="G48" s="217"/>
      <c r="H48" s="225">
        <v>970</v>
      </c>
      <c r="I48" s="225">
        <v>30</v>
      </c>
      <c r="J48" s="225">
        <v>63</v>
      </c>
      <c r="K48" s="225">
        <v>0</v>
      </c>
      <c r="L48" s="687">
        <f t="shared" si="104"/>
        <v>1063</v>
      </c>
      <c r="M48" s="225">
        <v>640</v>
      </c>
      <c r="N48" s="225">
        <v>9</v>
      </c>
      <c r="O48" s="225">
        <v>15</v>
      </c>
      <c r="P48" s="225">
        <v>0</v>
      </c>
      <c r="Q48" s="687">
        <f t="shared" si="105"/>
        <v>664</v>
      </c>
      <c r="R48" s="226">
        <v>1541</v>
      </c>
      <c r="S48" s="225">
        <v>35</v>
      </c>
      <c r="T48" s="225">
        <v>79</v>
      </c>
      <c r="U48" s="225">
        <v>0</v>
      </c>
      <c r="V48" s="691">
        <f t="shared" si="85"/>
        <v>1655</v>
      </c>
      <c r="W48" s="226">
        <v>50</v>
      </c>
      <c r="X48" s="225">
        <v>0</v>
      </c>
      <c r="Y48" s="225">
        <v>1</v>
      </c>
      <c r="Z48" s="225">
        <v>0</v>
      </c>
      <c r="AA48" s="691">
        <f t="shared" si="86"/>
        <v>51</v>
      </c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</row>
    <row r="49" spans="1:76" ht="20.100000000000001" customHeight="1" x14ac:dyDescent="0.25">
      <c r="A49" s="326">
        <v>44134</v>
      </c>
      <c r="B49" s="780">
        <f>SUM(H49,M49,R49,W49)</f>
        <v>3133</v>
      </c>
      <c r="C49" s="770">
        <f>SUM(I49,N49,S49,X49)</f>
        <v>40</v>
      </c>
      <c r="D49" s="770">
        <f t="shared" si="108"/>
        <v>125</v>
      </c>
      <c r="E49" s="769">
        <f t="shared" si="109"/>
        <v>0</v>
      </c>
      <c r="F49" s="676">
        <f t="shared" si="103"/>
        <v>3298</v>
      </c>
      <c r="G49" s="320">
        <f>6+22+8</f>
        <v>36</v>
      </c>
      <c r="H49" s="321">
        <f>985+8-3</f>
        <v>990</v>
      </c>
      <c r="I49" s="321">
        <v>9</v>
      </c>
      <c r="J49" s="321">
        <v>44</v>
      </c>
      <c r="K49" s="321">
        <v>0</v>
      </c>
      <c r="L49" s="687">
        <f t="shared" si="104"/>
        <v>1043</v>
      </c>
      <c r="M49" s="321">
        <f>645+5-2</f>
        <v>648</v>
      </c>
      <c r="N49" s="321">
        <v>10</v>
      </c>
      <c r="O49" s="321">
        <v>25</v>
      </c>
      <c r="P49" s="321">
        <v>0</v>
      </c>
      <c r="Q49" s="687">
        <f t="shared" si="105"/>
        <v>683</v>
      </c>
      <c r="R49" s="322">
        <f>1440+12-3</f>
        <v>1449</v>
      </c>
      <c r="S49" s="321">
        <v>21</v>
      </c>
      <c r="T49" s="321">
        <v>54</v>
      </c>
      <c r="U49" s="321">
        <v>0</v>
      </c>
      <c r="V49" s="691">
        <f t="shared" si="85"/>
        <v>1524</v>
      </c>
      <c r="W49" s="322">
        <v>46</v>
      </c>
      <c r="X49" s="321">
        <v>0</v>
      </c>
      <c r="Y49" s="321">
        <v>2</v>
      </c>
      <c r="Z49" s="321">
        <v>0</v>
      </c>
      <c r="AA49" s="691">
        <f t="shared" si="86"/>
        <v>48</v>
      </c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</row>
    <row r="50" spans="1:76" ht="20.100000000000001" customHeight="1" x14ac:dyDescent="0.25">
      <c r="A50" s="326">
        <v>44135</v>
      </c>
      <c r="B50" s="780">
        <f t="shared" si="106"/>
        <v>2674</v>
      </c>
      <c r="C50" s="770">
        <f t="shared" si="107"/>
        <v>78</v>
      </c>
      <c r="D50" s="770">
        <f t="shared" si="108"/>
        <v>73</v>
      </c>
      <c r="E50" s="769">
        <f t="shared" si="109"/>
        <v>0</v>
      </c>
      <c r="F50" s="676">
        <f t="shared" si="103"/>
        <v>2825</v>
      </c>
      <c r="G50" s="320">
        <f>25+10</f>
        <v>35</v>
      </c>
      <c r="H50" s="321">
        <f>727-3+30</f>
        <v>754</v>
      </c>
      <c r="I50" s="321">
        <f>2-1+23</f>
        <v>24</v>
      </c>
      <c r="J50" s="321">
        <f>25-6</f>
        <v>19</v>
      </c>
      <c r="K50" s="321">
        <v>0</v>
      </c>
      <c r="L50" s="687">
        <f t="shared" si="104"/>
        <v>797</v>
      </c>
      <c r="M50" s="321">
        <f>537+22</f>
        <v>559</v>
      </c>
      <c r="N50" s="321">
        <f>1+22</f>
        <v>23</v>
      </c>
      <c r="O50" s="321">
        <v>24</v>
      </c>
      <c r="P50" s="321">
        <v>0</v>
      </c>
      <c r="Q50" s="687">
        <f t="shared" si="105"/>
        <v>606</v>
      </c>
      <c r="R50" s="322">
        <f>1296+31</f>
        <v>1327</v>
      </c>
      <c r="S50" s="321">
        <f>9+22</f>
        <v>31</v>
      </c>
      <c r="T50" s="321">
        <v>28</v>
      </c>
      <c r="U50" s="321">
        <v>0</v>
      </c>
      <c r="V50" s="691">
        <f t="shared" si="85"/>
        <v>1386</v>
      </c>
      <c r="W50" s="322">
        <v>34</v>
      </c>
      <c r="X50" s="321">
        <v>0</v>
      </c>
      <c r="Y50" s="321">
        <v>2</v>
      </c>
      <c r="Z50" s="321">
        <v>0</v>
      </c>
      <c r="AA50" s="691">
        <f t="shared" si="86"/>
        <v>36</v>
      </c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</row>
    <row r="51" spans="1:76" ht="20.100000000000001" customHeight="1" x14ac:dyDescent="0.25">
      <c r="A51" s="325"/>
      <c r="B51" s="781"/>
      <c r="C51" s="778"/>
      <c r="D51" s="778"/>
      <c r="E51" s="779"/>
      <c r="F51" s="677"/>
      <c r="G51" s="243"/>
      <c r="H51" s="244"/>
      <c r="I51" s="244"/>
      <c r="J51" s="244"/>
      <c r="K51" s="244"/>
      <c r="L51" s="688"/>
      <c r="M51" s="244"/>
      <c r="N51" s="244"/>
      <c r="O51" s="244"/>
      <c r="P51" s="244"/>
      <c r="Q51" s="688"/>
      <c r="R51" s="245"/>
      <c r="S51" s="244"/>
      <c r="T51" s="244"/>
      <c r="U51" s="244"/>
      <c r="V51" s="692"/>
      <c r="W51" s="245"/>
      <c r="X51" s="244"/>
      <c r="Y51" s="244"/>
      <c r="Z51" s="244"/>
      <c r="AA51" s="692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</row>
    <row r="52" spans="1:76" ht="20.100000000000001" customHeight="1" x14ac:dyDescent="0.25">
      <c r="A52" s="326">
        <v>44137</v>
      </c>
      <c r="B52" s="780">
        <f t="shared" ref="B52:B53" si="111">SUM(H52,M52,R52,W52)</f>
        <v>7696</v>
      </c>
      <c r="C52" s="770">
        <f t="shared" ref="C52:C53" si="112">SUM(I52,N52,S52,X52)</f>
        <v>90</v>
      </c>
      <c r="D52" s="770">
        <f t="shared" ref="D52:D54" si="113">SUM(J52,O52,T52,Y52)</f>
        <v>208</v>
      </c>
      <c r="E52" s="769">
        <f t="shared" ref="E52:E54" si="114">SUM(K52,P52,U52,Z52)</f>
        <v>0</v>
      </c>
      <c r="F52" s="676">
        <f>SUM(B52:E52)+42</f>
        <v>8036</v>
      </c>
      <c r="G52" s="320">
        <v>92</v>
      </c>
      <c r="H52" s="321">
        <f>1063+8+10-2</f>
        <v>1079</v>
      </c>
      <c r="I52" s="321">
        <f>28-1</f>
        <v>27</v>
      </c>
      <c r="J52" s="321">
        <v>67</v>
      </c>
      <c r="K52" s="321">
        <v>0</v>
      </c>
      <c r="L52" s="687">
        <f>SUM(H52:K52)</f>
        <v>1173</v>
      </c>
      <c r="M52" s="321">
        <f>5435+11+1-1</f>
        <v>5446</v>
      </c>
      <c r="N52" s="321">
        <v>20</v>
      </c>
      <c r="O52" s="321">
        <v>42</v>
      </c>
      <c r="P52" s="321">
        <v>0</v>
      </c>
      <c r="Q52" s="687">
        <f>SUM(M52:P52)</f>
        <v>5508</v>
      </c>
      <c r="R52" s="322">
        <f>1097+20+4-1</f>
        <v>1120</v>
      </c>
      <c r="S52" s="321">
        <v>42</v>
      </c>
      <c r="T52" s="321">
        <v>94</v>
      </c>
      <c r="U52" s="321">
        <v>0</v>
      </c>
      <c r="V52" s="691">
        <f t="shared" si="85"/>
        <v>1256</v>
      </c>
      <c r="W52" s="322">
        <v>51</v>
      </c>
      <c r="X52" s="321">
        <v>1</v>
      </c>
      <c r="Y52" s="321">
        <v>5</v>
      </c>
      <c r="Z52" s="321">
        <v>0</v>
      </c>
      <c r="AA52" s="691">
        <f t="shared" si="86"/>
        <v>57</v>
      </c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</row>
    <row r="53" spans="1:76" ht="20.100000000000001" customHeight="1" x14ac:dyDescent="0.25">
      <c r="A53" s="326">
        <v>44138</v>
      </c>
      <c r="B53" s="780">
        <f t="shared" si="111"/>
        <v>2111</v>
      </c>
      <c r="C53" s="770">
        <f t="shared" si="112"/>
        <v>50</v>
      </c>
      <c r="D53" s="770">
        <f t="shared" si="113"/>
        <v>97</v>
      </c>
      <c r="E53" s="769">
        <f t="shared" si="114"/>
        <v>0</v>
      </c>
      <c r="F53" s="676">
        <f t="shared" ref="F53:F55" si="115">SUM(B53:E53)</f>
        <v>2258</v>
      </c>
      <c r="G53" s="320">
        <f>5+23</f>
        <v>28</v>
      </c>
      <c r="H53" s="321">
        <f>13+586-4</f>
        <v>595</v>
      </c>
      <c r="I53" s="321">
        <v>17</v>
      </c>
      <c r="J53" s="321">
        <v>32</v>
      </c>
      <c r="K53" s="321">
        <v>0</v>
      </c>
      <c r="L53" s="687">
        <f t="shared" ref="L53:L56" si="116">SUM(H53:K53)</f>
        <v>644</v>
      </c>
      <c r="M53" s="321">
        <f>12+484-7</f>
        <v>489</v>
      </c>
      <c r="N53" s="321">
        <v>7</v>
      </c>
      <c r="O53" s="321">
        <v>20</v>
      </c>
      <c r="P53" s="321">
        <v>0</v>
      </c>
      <c r="Q53" s="687">
        <f t="shared" ref="Q53:Q56" si="117">SUM(M53:P53)</f>
        <v>516</v>
      </c>
      <c r="R53" s="322">
        <f>65+933-11</f>
        <v>987</v>
      </c>
      <c r="S53" s="321">
        <f>19-1</f>
        <v>18</v>
      </c>
      <c r="T53" s="321">
        <v>45</v>
      </c>
      <c r="U53" s="321">
        <v>0</v>
      </c>
      <c r="V53" s="691">
        <f t="shared" si="85"/>
        <v>1050</v>
      </c>
      <c r="W53" s="322">
        <v>40</v>
      </c>
      <c r="X53" s="321">
        <v>8</v>
      </c>
      <c r="Y53" s="321">
        <v>0</v>
      </c>
      <c r="Z53" s="321">
        <v>0</v>
      </c>
      <c r="AA53" s="691">
        <f t="shared" si="86"/>
        <v>48</v>
      </c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</row>
    <row r="54" spans="1:76" ht="20.100000000000001" customHeight="1" x14ac:dyDescent="0.25">
      <c r="A54" s="326">
        <v>44139</v>
      </c>
      <c r="B54" s="780">
        <f t="shared" ref="B54" si="118">SUM(H54,M54,R54,W54)</f>
        <v>899</v>
      </c>
      <c r="C54" s="770">
        <f t="shared" ref="C54" si="119">SUM(I54,N54,S54,X54)</f>
        <v>44</v>
      </c>
      <c r="D54" s="770">
        <f t="shared" si="113"/>
        <v>84</v>
      </c>
      <c r="E54" s="769">
        <f t="shared" si="114"/>
        <v>0</v>
      </c>
      <c r="F54" s="676">
        <f t="shared" si="115"/>
        <v>1027</v>
      </c>
      <c r="G54" s="320">
        <f>14+4</f>
        <v>18</v>
      </c>
      <c r="H54" s="321">
        <f>285-2</f>
        <v>283</v>
      </c>
      <c r="I54" s="321">
        <v>17</v>
      </c>
      <c r="J54" s="321">
        <v>27</v>
      </c>
      <c r="K54" s="321">
        <v>0</v>
      </c>
      <c r="L54" s="687">
        <f t="shared" si="116"/>
        <v>327</v>
      </c>
      <c r="M54" s="321">
        <f>213-1</f>
        <v>212</v>
      </c>
      <c r="N54" s="321">
        <v>5</v>
      </c>
      <c r="O54" s="321">
        <v>13</v>
      </c>
      <c r="P54" s="321">
        <v>0</v>
      </c>
      <c r="Q54" s="687">
        <f t="shared" si="117"/>
        <v>230</v>
      </c>
      <c r="R54" s="322">
        <f>390+1</f>
        <v>391</v>
      </c>
      <c r="S54" s="321">
        <v>22</v>
      </c>
      <c r="T54" s="321">
        <v>43</v>
      </c>
      <c r="U54" s="321">
        <v>0</v>
      </c>
      <c r="V54" s="691">
        <f t="shared" si="85"/>
        <v>456</v>
      </c>
      <c r="W54" s="322">
        <v>13</v>
      </c>
      <c r="X54" s="321">
        <v>0</v>
      </c>
      <c r="Y54" s="321">
        <v>1</v>
      </c>
      <c r="Z54" s="321">
        <v>0</v>
      </c>
      <c r="AA54" s="691">
        <f t="shared" si="86"/>
        <v>14</v>
      </c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</row>
    <row r="55" spans="1:76" ht="20.100000000000001" customHeight="1" x14ac:dyDescent="0.25">
      <c r="A55" s="326">
        <v>44140</v>
      </c>
      <c r="B55" s="780">
        <f t="shared" ref="B55:B56" si="120">SUM(H55,M55,R55,W55)</f>
        <v>478</v>
      </c>
      <c r="C55" s="770">
        <f t="shared" ref="C55:C56" si="121">SUM(I55,N55,S55,X55)</f>
        <v>217</v>
      </c>
      <c r="D55" s="770">
        <f t="shared" ref="D55:E56" si="122">SUM(J55,O55,T55,Y55)</f>
        <v>51</v>
      </c>
      <c r="E55" s="769">
        <f t="shared" ref="E55" si="123">SUM(K55,P55,U55,Z55)</f>
        <v>0</v>
      </c>
      <c r="F55" s="676">
        <f t="shared" si="115"/>
        <v>746</v>
      </c>
      <c r="G55" s="320">
        <f>7+7</f>
        <v>14</v>
      </c>
      <c r="H55" s="321">
        <f>19+62+5</f>
        <v>86</v>
      </c>
      <c r="I55" s="321">
        <v>62</v>
      </c>
      <c r="J55" s="321">
        <v>19</v>
      </c>
      <c r="K55" s="321">
        <v>0</v>
      </c>
      <c r="L55" s="687">
        <f t="shared" si="116"/>
        <v>167</v>
      </c>
      <c r="M55" s="321">
        <f>12+60+189-1</f>
        <v>260</v>
      </c>
      <c r="N55" s="321">
        <v>60</v>
      </c>
      <c r="O55" s="321">
        <v>7</v>
      </c>
      <c r="P55" s="321">
        <v>0</v>
      </c>
      <c r="Q55" s="687">
        <f t="shared" si="117"/>
        <v>327</v>
      </c>
      <c r="R55" s="322">
        <f>35+91+8-6</f>
        <v>128</v>
      </c>
      <c r="S55" s="321">
        <v>91</v>
      </c>
      <c r="T55" s="321">
        <v>24</v>
      </c>
      <c r="U55" s="321">
        <v>0</v>
      </c>
      <c r="V55" s="691">
        <f t="shared" si="85"/>
        <v>243</v>
      </c>
      <c r="W55" s="322">
        <v>4</v>
      </c>
      <c r="X55" s="321">
        <v>4</v>
      </c>
      <c r="Y55" s="321">
        <v>1</v>
      </c>
      <c r="Z55" s="321">
        <v>0</v>
      </c>
      <c r="AA55" s="691">
        <f t="shared" si="86"/>
        <v>9</v>
      </c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</row>
    <row r="56" spans="1:76" ht="20.100000000000001" customHeight="1" thickBot="1" x14ac:dyDescent="0.3">
      <c r="A56" s="369">
        <v>44141</v>
      </c>
      <c r="B56" s="780">
        <f t="shared" si="120"/>
        <v>113</v>
      </c>
      <c r="C56" s="770">
        <f t="shared" si="121"/>
        <v>19</v>
      </c>
      <c r="D56" s="770">
        <f t="shared" si="122"/>
        <v>32</v>
      </c>
      <c r="E56" s="770">
        <f t="shared" si="122"/>
        <v>498</v>
      </c>
      <c r="F56" s="680">
        <f>SUM(B56:E56)</f>
        <v>662</v>
      </c>
      <c r="G56" s="228">
        <v>16</v>
      </c>
      <c r="H56" s="229">
        <f>19+19-1</f>
        <v>37</v>
      </c>
      <c r="I56" s="229">
        <v>5</v>
      </c>
      <c r="J56" s="229">
        <v>12</v>
      </c>
      <c r="K56" s="229">
        <v>166</v>
      </c>
      <c r="L56" s="687">
        <f t="shared" si="116"/>
        <v>220</v>
      </c>
      <c r="M56" s="229">
        <f>22+14-2</f>
        <v>34</v>
      </c>
      <c r="N56" s="229">
        <v>7</v>
      </c>
      <c r="O56" s="229">
        <v>5</v>
      </c>
      <c r="P56" s="229">
        <v>81</v>
      </c>
      <c r="Q56" s="687">
        <f t="shared" si="117"/>
        <v>127</v>
      </c>
      <c r="R56" s="230">
        <f>14+27</f>
        <v>41</v>
      </c>
      <c r="S56" s="229">
        <v>7</v>
      </c>
      <c r="T56" s="229">
        <v>15</v>
      </c>
      <c r="U56" s="229">
        <v>251</v>
      </c>
      <c r="V56" s="691">
        <f t="shared" si="85"/>
        <v>314</v>
      </c>
      <c r="W56" s="230">
        <v>1</v>
      </c>
      <c r="X56" s="229">
        <v>0</v>
      </c>
      <c r="Y56" s="229">
        <v>0</v>
      </c>
      <c r="Z56" s="229">
        <v>0</v>
      </c>
      <c r="AA56" s="691">
        <f t="shared" si="86"/>
        <v>1</v>
      </c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</row>
    <row r="57" spans="1:76" s="359" customFormat="1" ht="21.75" customHeight="1" x14ac:dyDescent="0.2">
      <c r="A57" s="354" t="s">
        <v>5</v>
      </c>
      <c r="B57" s="782">
        <f>SUM(B7:B56)</f>
        <v>131409</v>
      </c>
      <c r="C57" s="783">
        <f t="shared" ref="C57:H57" si="124">SUM(C7:C56)</f>
        <v>2427</v>
      </c>
      <c r="D57" s="783">
        <f t="shared" si="124"/>
        <v>6675</v>
      </c>
      <c r="E57" s="784">
        <f t="shared" si="124"/>
        <v>498</v>
      </c>
      <c r="F57" s="561">
        <f t="shared" si="124"/>
        <v>141051</v>
      </c>
      <c r="G57" s="355">
        <f t="shared" si="124"/>
        <v>1226</v>
      </c>
      <c r="H57" s="355">
        <f t="shared" si="124"/>
        <v>38441</v>
      </c>
      <c r="I57" s="356">
        <f t="shared" ref="I57" si="125">SUM(I7:I56)</f>
        <v>780</v>
      </c>
      <c r="J57" s="356">
        <f t="shared" ref="J57" si="126">SUM(J7:J56)</f>
        <v>2257</v>
      </c>
      <c r="K57" s="356">
        <f t="shared" ref="K57" si="127">SUM(K7:K56)</f>
        <v>166</v>
      </c>
      <c r="L57" s="562">
        <f t="shared" ref="L57" si="128">SUM(L7:L56)</f>
        <v>41644</v>
      </c>
      <c r="M57" s="355">
        <f t="shared" ref="M57:N57" si="129">SUM(M7:M56)</f>
        <v>30625</v>
      </c>
      <c r="N57" s="356">
        <f t="shared" si="129"/>
        <v>447</v>
      </c>
      <c r="O57" s="356">
        <f t="shared" ref="O57" si="130">SUM(O7:O56)</f>
        <v>1122</v>
      </c>
      <c r="P57" s="356">
        <f t="shared" ref="P57" si="131">SUM(P7:P56)</f>
        <v>81</v>
      </c>
      <c r="Q57" s="562">
        <f t="shared" ref="Q57" si="132">SUM(Q7:Q56)</f>
        <v>32275</v>
      </c>
      <c r="R57" s="355">
        <f t="shared" ref="R57" si="133">SUM(R7:R56)</f>
        <v>60182</v>
      </c>
      <c r="S57" s="356">
        <f t="shared" ref="S57:T57" si="134">SUM(S7:S56)</f>
        <v>1177</v>
      </c>
      <c r="T57" s="356">
        <f t="shared" si="134"/>
        <v>3243</v>
      </c>
      <c r="U57" s="356">
        <f t="shared" ref="U57" si="135">SUM(U7:U56)</f>
        <v>251</v>
      </c>
      <c r="V57" s="562">
        <f t="shared" ref="V57" si="136">SUM(V7:V56)</f>
        <v>64853</v>
      </c>
      <c r="W57" s="355">
        <f t="shared" ref="W57" si="137">SUM(W7:W56)</f>
        <v>2161</v>
      </c>
      <c r="X57" s="356">
        <f t="shared" ref="X57" si="138">SUM(X7:X56)</f>
        <v>23</v>
      </c>
      <c r="Y57" s="356">
        <f t="shared" ref="Y57:Z57" si="139">SUM(Y7:Y56)</f>
        <v>53</v>
      </c>
      <c r="Z57" s="356">
        <f t="shared" si="139"/>
        <v>0</v>
      </c>
      <c r="AA57" s="563">
        <f t="shared" ref="AA57" si="140">SUM(AA7:AA56)</f>
        <v>2237</v>
      </c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  <c r="AR57" s="357"/>
      <c r="AS57" s="357"/>
      <c r="AT57" s="357"/>
      <c r="AU57" s="358"/>
      <c r="AV57" s="358"/>
      <c r="AW57" s="358"/>
      <c r="AX57" s="358"/>
      <c r="AY57" s="358"/>
      <c r="AZ57" s="358"/>
      <c r="BA57" s="358"/>
      <c r="BB57" s="358"/>
      <c r="BC57" s="358"/>
      <c r="BD57" s="358"/>
      <c r="BE57" s="358"/>
      <c r="BF57" s="358"/>
      <c r="BG57" s="358"/>
      <c r="BH57" s="358"/>
      <c r="BI57" s="358"/>
      <c r="BJ57" s="358"/>
      <c r="BK57" s="358"/>
      <c r="BL57" s="358"/>
      <c r="BM57" s="358"/>
      <c r="BN57" s="358"/>
      <c r="BO57" s="358"/>
      <c r="BP57" s="358"/>
      <c r="BQ57" s="358"/>
      <c r="BR57" s="358"/>
      <c r="BS57" s="358"/>
      <c r="BT57" s="358"/>
      <c r="BU57" s="358"/>
      <c r="BV57" s="358"/>
      <c r="BW57" s="358"/>
      <c r="BX57" s="358"/>
    </row>
    <row r="58" spans="1:76" s="106" customFormat="1" ht="32.25" customHeight="1" x14ac:dyDescent="0.25">
      <c r="A58" s="556"/>
      <c r="B58" s="643"/>
      <c r="C58" s="643"/>
      <c r="D58" s="643"/>
      <c r="E58" s="106">
        <f>SUM(F38:F43)</f>
        <v>20467</v>
      </c>
      <c r="G58" s="643"/>
      <c r="L58" s="106">
        <f>SUM(H57:K57)</f>
        <v>41644</v>
      </c>
      <c r="M58" s="107"/>
      <c r="N58" s="107"/>
      <c r="O58" s="107"/>
      <c r="P58" s="107"/>
      <c r="Q58" s="107">
        <f>SUM(M57:O57)</f>
        <v>32194</v>
      </c>
      <c r="R58" s="107"/>
      <c r="S58" s="107"/>
      <c r="T58" s="107"/>
      <c r="U58" s="107"/>
      <c r="V58" s="107">
        <f>SUM(R57:T57)</f>
        <v>64602</v>
      </c>
    </row>
    <row r="59" spans="1:76" s="108" customFormat="1" ht="15" customHeight="1" x14ac:dyDescent="0.25">
      <c r="A59" s="556"/>
      <c r="B59" s="581"/>
      <c r="C59" s="644"/>
      <c r="D59" s="581"/>
      <c r="E59" s="120">
        <f>SUM('Return by Dropbox'!B37:B42)</f>
        <v>18280</v>
      </c>
      <c r="F59" s="109"/>
      <c r="G59" s="556"/>
      <c r="H59" s="292"/>
      <c r="I59" s="292"/>
      <c r="J59" s="88"/>
      <c r="K59" s="88"/>
      <c r="L59" s="107">
        <f>SUM(H57:J57)</f>
        <v>41478</v>
      </c>
      <c r="M59" s="89"/>
      <c r="N59" s="89"/>
      <c r="O59" s="89"/>
      <c r="P59" s="89"/>
      <c r="Q59" s="107">
        <f>SUM(M57:O57)</f>
        <v>32194</v>
      </c>
      <c r="R59" s="89"/>
      <c r="S59" s="89"/>
      <c r="T59" s="89"/>
      <c r="U59" s="89"/>
      <c r="V59" s="107">
        <f>SUM(R57:T57)</f>
        <v>64602</v>
      </c>
      <c r="AA59" s="120"/>
    </row>
    <row r="60" spans="1:76" s="90" customFormat="1" x14ac:dyDescent="0.25">
      <c r="A60" s="91"/>
      <c r="B60" s="645"/>
      <c r="C60" s="91"/>
      <c r="D60" s="91"/>
      <c r="E60" s="568">
        <f>SUM(E58:E59)</f>
        <v>38747</v>
      </c>
      <c r="F60" s="568"/>
      <c r="G60" s="91"/>
      <c r="H60" s="293"/>
      <c r="I60" s="294"/>
      <c r="J60" s="110"/>
      <c r="K60" s="110"/>
      <c r="L60" s="107"/>
      <c r="M60" s="110"/>
      <c r="N60" s="110"/>
      <c r="O60" s="110"/>
      <c r="P60" s="110"/>
      <c r="Q60" s="107"/>
      <c r="R60" s="110"/>
      <c r="S60" s="110"/>
      <c r="T60" s="110"/>
      <c r="U60" s="110"/>
      <c r="V60" s="107"/>
      <c r="W60" s="108"/>
      <c r="X60" s="108"/>
      <c r="Y60" s="108"/>
      <c r="Z60" s="108"/>
      <c r="AA60" s="120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108"/>
      <c r="BF60" s="108"/>
      <c r="BG60" s="108"/>
      <c r="BH60" s="108"/>
      <c r="BI60" s="108"/>
      <c r="BJ60" s="108"/>
      <c r="BK60" s="108"/>
      <c r="BL60" s="108"/>
      <c r="BM60" s="108"/>
      <c r="BN60" s="108"/>
      <c r="BO60" s="108"/>
      <c r="BP60" s="108"/>
      <c r="BQ60" s="108"/>
      <c r="BR60" s="108"/>
      <c r="BS60" s="108"/>
      <c r="BT60" s="108"/>
      <c r="BU60" s="108"/>
      <c r="BV60" s="108"/>
      <c r="BW60" s="108"/>
      <c r="BX60" s="108"/>
    </row>
    <row r="61" spans="1:76" s="90" customFormat="1" x14ac:dyDescent="0.25">
      <c r="A61" s="92"/>
      <c r="B61" s="92"/>
      <c r="C61" s="92"/>
      <c r="D61" s="92"/>
      <c r="F61" s="119"/>
      <c r="G61" s="92"/>
      <c r="H61" s="365"/>
      <c r="I61" s="295"/>
      <c r="L61" s="120"/>
      <c r="M61" s="110"/>
      <c r="N61" s="110"/>
      <c r="O61" s="110"/>
      <c r="P61" s="110"/>
      <c r="Q61" s="107"/>
      <c r="R61" s="110"/>
      <c r="S61" s="110"/>
      <c r="T61" s="110"/>
      <c r="U61" s="110"/>
      <c r="V61" s="107"/>
      <c r="W61" s="108"/>
      <c r="X61" s="108"/>
      <c r="Y61" s="108"/>
      <c r="Z61" s="108"/>
      <c r="AA61" s="120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</row>
    <row r="62" spans="1:76" s="84" customFormat="1" ht="28.5" customHeight="1" x14ac:dyDescent="0.25">
      <c r="A62" s="110"/>
      <c r="B62" s="571" t="s">
        <v>91</v>
      </c>
      <c r="C62" s="568">
        <f>B57+C57+'Return by Dropbox'!B5</f>
        <v>219128</v>
      </c>
      <c r="D62" s="91"/>
      <c r="E62" s="91"/>
      <c r="F62" s="645"/>
      <c r="G62" s="91"/>
      <c r="H62" s="293"/>
      <c r="I62" s="293"/>
      <c r="J62" s="111"/>
      <c r="K62" s="111"/>
      <c r="L62" s="117"/>
      <c r="M62" s="111"/>
      <c r="N62" s="111"/>
      <c r="O62" s="111"/>
      <c r="P62" s="111"/>
      <c r="Q62" s="117"/>
      <c r="R62" s="111"/>
      <c r="S62" s="111"/>
      <c r="T62" s="111"/>
      <c r="U62" s="111"/>
      <c r="V62" s="117"/>
      <c r="W62" s="93"/>
      <c r="X62" s="93"/>
      <c r="Y62" s="93"/>
      <c r="Z62" s="93"/>
      <c r="AA62" s="6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</row>
    <row r="63" spans="1:76" x14ac:dyDescent="0.25">
      <c r="A63" s="413"/>
      <c r="B63" s="413"/>
      <c r="C63" s="413"/>
      <c r="D63" s="301"/>
      <c r="E63" s="301"/>
      <c r="F63" s="318"/>
      <c r="G63" s="710"/>
      <c r="K63" s="76"/>
    </row>
    <row r="64" spans="1:76" x14ac:dyDescent="0.25">
      <c r="D64" s="301"/>
      <c r="E64" s="301"/>
      <c r="F64" s="318"/>
      <c r="G64" s="91"/>
    </row>
    <row r="65" spans="7:7" x14ac:dyDescent="0.25">
      <c r="G65" s="112"/>
    </row>
  </sheetData>
  <sheetProtection algorithmName="SHA-512" hashValue="SZ73xmc5Ffz7ym4uM/PlIIve+JHb8zpyCMFY93P/QZzFTPKR5CrrNDn7Mx8SyF/hzUWMrZn9hhwpU5JrfhhKUg==" saltValue="U1RuU8P1NlFLUVizK5JJ+w==" spinCount="100000" sheet="1" objects="1" scenarios="1"/>
  <mergeCells count="15">
    <mergeCell ref="W5:Z5"/>
    <mergeCell ref="AV5:AZ5"/>
    <mergeCell ref="BA5:BE5"/>
    <mergeCell ref="BF5:BJ5"/>
    <mergeCell ref="AB5:AF5"/>
    <mergeCell ref="AG5:AK5"/>
    <mergeCell ref="AL5:AP5"/>
    <mergeCell ref="AQ5:AU5"/>
    <mergeCell ref="A1:V1"/>
    <mergeCell ref="A3:V3"/>
    <mergeCell ref="B5:E5"/>
    <mergeCell ref="A2:F2"/>
    <mergeCell ref="H5:K5"/>
    <mergeCell ref="M5:P5"/>
    <mergeCell ref="R5:U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22053-4040-4DF6-9D0E-CE9F9D973ADB}">
  <sheetPr>
    <pageSetUpPr fitToPage="1"/>
  </sheetPr>
  <dimension ref="A1:CJ56"/>
  <sheetViews>
    <sheetView showGridLines="0" zoomScale="70" zoomScaleNormal="70" workbookViewId="0">
      <pane ySplit="5" topLeftCell="A42" activePane="bottomLeft" state="frozen"/>
      <selection pane="bottomLeft" activeCell="E59" sqref="E59"/>
    </sheetView>
  </sheetViews>
  <sheetFormatPr defaultRowHeight="15" x14ac:dyDescent="0.25"/>
  <cols>
    <col min="1" max="1" width="13.25" style="72" customWidth="1"/>
    <col min="2" max="2" width="12" style="536" customWidth="1"/>
    <col min="3" max="7" width="12" style="73" customWidth="1"/>
    <col min="8" max="10" width="9" style="72" customWidth="1"/>
    <col min="11" max="12" width="11" style="72" customWidth="1"/>
    <col min="13" max="13" width="9" style="536" customWidth="1"/>
    <col min="14" max="18" width="9" style="73" customWidth="1"/>
    <col min="19" max="16384" width="9" style="1"/>
  </cols>
  <sheetData>
    <row r="1" spans="1:88" ht="36.75" customHeight="1" x14ac:dyDescent="0.2">
      <c r="A1" s="828" t="s">
        <v>74</v>
      </c>
      <c r="B1" s="828"/>
      <c r="C1" s="828"/>
      <c r="D1" s="828"/>
      <c r="E1" s="828"/>
      <c r="F1" s="828"/>
      <c r="G1" s="828"/>
      <c r="H1" s="828"/>
      <c r="I1" s="828"/>
      <c r="J1" s="828"/>
      <c r="K1" s="828"/>
      <c r="L1" s="828"/>
      <c r="M1" s="828"/>
      <c r="N1" s="828"/>
      <c r="O1" s="828"/>
      <c r="P1" s="828"/>
      <c r="Q1" s="828"/>
      <c r="R1" s="828"/>
      <c r="S1" s="828"/>
      <c r="T1" s="828"/>
      <c r="U1" s="828"/>
      <c r="V1" s="828"/>
      <c r="W1" s="828"/>
      <c r="X1" s="828"/>
      <c r="Y1" s="828"/>
      <c r="Z1" s="828"/>
      <c r="AA1" s="828"/>
      <c r="AB1" s="828"/>
      <c r="AC1" s="828"/>
      <c r="AD1" s="828"/>
      <c r="AE1" s="828"/>
      <c r="AF1" s="828"/>
      <c r="AG1" s="828"/>
      <c r="AH1" s="828"/>
      <c r="AI1" s="828"/>
      <c r="AJ1" s="828"/>
      <c r="AK1" s="828"/>
      <c r="AL1" s="828"/>
      <c r="AM1" s="828"/>
      <c r="AN1" s="828"/>
      <c r="AO1" s="828"/>
      <c r="AP1" s="828"/>
      <c r="AQ1" s="828"/>
      <c r="AR1" s="828"/>
      <c r="AS1" s="828"/>
      <c r="AT1" s="578"/>
      <c r="AU1" s="578"/>
    </row>
    <row r="2" spans="1:88" ht="19.5" customHeight="1" x14ac:dyDescent="0.3">
      <c r="A2" s="829" t="s">
        <v>59</v>
      </c>
      <c r="B2" s="829"/>
      <c r="C2" s="829"/>
      <c r="D2" s="829"/>
      <c r="E2" s="829"/>
      <c r="F2" s="829"/>
      <c r="G2" s="829"/>
      <c r="H2" s="829"/>
      <c r="I2" s="829"/>
      <c r="J2" s="829"/>
      <c r="K2" s="829"/>
      <c r="L2" s="829"/>
      <c r="M2" s="829"/>
      <c r="N2" s="829"/>
      <c r="O2" s="829"/>
      <c r="P2" s="829"/>
      <c r="Q2" s="829"/>
      <c r="R2" s="829"/>
      <c r="S2" s="829"/>
      <c r="T2" s="829"/>
      <c r="U2" s="829"/>
      <c r="V2" s="829"/>
      <c r="W2" s="829"/>
      <c r="X2" s="829"/>
      <c r="Y2" s="829"/>
      <c r="Z2" s="829"/>
      <c r="AA2" s="829"/>
      <c r="AB2" s="829"/>
      <c r="AC2" s="829"/>
      <c r="AD2" s="829"/>
      <c r="AE2" s="829"/>
      <c r="AF2" s="829"/>
      <c r="AG2" s="829"/>
      <c r="AH2" s="829"/>
      <c r="AI2" s="829"/>
      <c r="AJ2" s="829"/>
      <c r="AK2" s="829"/>
      <c r="AL2" s="829"/>
      <c r="AM2" s="829"/>
      <c r="AN2" s="829"/>
      <c r="AO2" s="829"/>
      <c r="AP2" s="829"/>
      <c r="AQ2" s="829"/>
      <c r="AR2" s="829"/>
      <c r="AS2" s="829"/>
      <c r="AT2" s="579"/>
      <c r="AU2" s="579"/>
    </row>
    <row r="3" spans="1:88" ht="27.75" customHeight="1" x14ac:dyDescent="0.25">
      <c r="A3" s="74"/>
      <c r="B3" s="726"/>
      <c r="C3" s="74"/>
      <c r="D3" s="74"/>
      <c r="E3" s="74"/>
      <c r="F3" s="74"/>
      <c r="G3" s="74"/>
      <c r="H3" s="1"/>
      <c r="I3" s="246"/>
      <c r="J3" s="319"/>
      <c r="K3" s="319"/>
      <c r="L3" s="319"/>
      <c r="M3" s="697"/>
      <c r="N3" s="319"/>
      <c r="O3" s="319"/>
      <c r="P3" s="319"/>
      <c r="Q3" s="319"/>
      <c r="R3" s="319"/>
    </row>
    <row r="4" spans="1:88" s="606" customFormat="1" ht="57.75" customHeight="1" x14ac:dyDescent="0.2">
      <c r="A4" s="370"/>
      <c r="B4" s="727" t="s">
        <v>102</v>
      </c>
      <c r="C4" s="830" t="s">
        <v>5</v>
      </c>
      <c r="D4" s="827"/>
      <c r="E4" s="827"/>
      <c r="F4" s="827"/>
      <c r="G4" s="827"/>
      <c r="H4" s="830" t="s">
        <v>12</v>
      </c>
      <c r="I4" s="827"/>
      <c r="J4" s="827"/>
      <c r="K4" s="827"/>
      <c r="L4" s="827"/>
      <c r="M4" s="604">
        <f>M53</f>
        <v>43138</v>
      </c>
      <c r="N4" s="826" t="s">
        <v>89</v>
      </c>
      <c r="O4" s="827"/>
      <c r="P4" s="827"/>
      <c r="Q4" s="827"/>
      <c r="R4" s="604">
        <f>R53</f>
        <v>114</v>
      </c>
      <c r="S4" s="826" t="s">
        <v>65</v>
      </c>
      <c r="T4" s="827"/>
      <c r="U4" s="827"/>
      <c r="V4" s="827"/>
      <c r="W4" s="604">
        <f>W53</f>
        <v>2080</v>
      </c>
      <c r="X4" s="826" t="s">
        <v>62</v>
      </c>
      <c r="Y4" s="827"/>
      <c r="Z4" s="827"/>
      <c r="AA4" s="827"/>
      <c r="AB4" s="603">
        <f>AB53</f>
        <v>5425</v>
      </c>
      <c r="AC4" s="826" t="s">
        <v>64</v>
      </c>
      <c r="AD4" s="827"/>
      <c r="AE4" s="827"/>
      <c r="AF4" s="827"/>
      <c r="AG4" s="603">
        <f>AG53</f>
        <v>601</v>
      </c>
      <c r="AH4" s="826" t="s">
        <v>63</v>
      </c>
      <c r="AI4" s="827"/>
      <c r="AJ4" s="827"/>
      <c r="AK4" s="827"/>
      <c r="AL4" s="603">
        <f>AL53</f>
        <v>3109</v>
      </c>
      <c r="AM4" s="826" t="s">
        <v>94</v>
      </c>
      <c r="AN4" s="827"/>
      <c r="AO4" s="827"/>
      <c r="AP4" s="827"/>
      <c r="AQ4" s="603">
        <f>AQ53</f>
        <v>1831</v>
      </c>
      <c r="AR4" s="826" t="s">
        <v>66</v>
      </c>
      <c r="AS4" s="827"/>
      <c r="AT4" s="827"/>
      <c r="AU4" s="827"/>
      <c r="AV4" s="603">
        <f>AV53</f>
        <v>3055</v>
      </c>
      <c r="AW4" s="826" t="s">
        <v>67</v>
      </c>
      <c r="AX4" s="827"/>
      <c r="AY4" s="827"/>
      <c r="AZ4" s="827"/>
      <c r="BA4" s="604">
        <f>BA53</f>
        <v>3269</v>
      </c>
      <c r="BB4" s="833" t="s">
        <v>96</v>
      </c>
      <c r="BC4" s="833"/>
      <c r="BD4" s="833"/>
      <c r="BE4" s="833"/>
      <c r="BF4" s="603">
        <f>BF53</f>
        <v>5099</v>
      </c>
      <c r="BG4" s="826" t="s">
        <v>68</v>
      </c>
      <c r="BH4" s="827"/>
      <c r="BI4" s="827"/>
      <c r="BJ4" s="827"/>
      <c r="BK4" s="603">
        <f>BK53</f>
        <v>3720</v>
      </c>
      <c r="BL4" s="826" t="s">
        <v>69</v>
      </c>
      <c r="BM4" s="827"/>
      <c r="BN4" s="827"/>
      <c r="BO4" s="827"/>
      <c r="BP4" s="603">
        <f>BP53</f>
        <v>2076</v>
      </c>
      <c r="BQ4" s="826" t="s">
        <v>70</v>
      </c>
      <c r="BR4" s="827"/>
      <c r="BS4" s="827"/>
      <c r="BT4" s="827"/>
      <c r="BU4" s="603">
        <f>BU53</f>
        <v>1403</v>
      </c>
      <c r="BV4" s="826" t="s">
        <v>71</v>
      </c>
      <c r="BW4" s="827"/>
      <c r="BX4" s="827"/>
      <c r="BY4" s="827"/>
      <c r="BZ4" s="603">
        <f>BZ53</f>
        <v>1833</v>
      </c>
      <c r="CA4" s="826" t="s">
        <v>72</v>
      </c>
      <c r="CB4" s="827"/>
      <c r="CC4" s="827"/>
      <c r="CD4" s="827"/>
      <c r="CE4" s="603">
        <f>CE53</f>
        <v>2824</v>
      </c>
      <c r="CF4" s="826" t="s">
        <v>73</v>
      </c>
      <c r="CG4" s="827"/>
      <c r="CH4" s="827"/>
      <c r="CI4" s="827"/>
      <c r="CJ4" s="603">
        <f>CJ53</f>
        <v>5725</v>
      </c>
    </row>
    <row r="5" spans="1:88" s="83" customFormat="1" ht="52.5" customHeight="1" thickBot="1" x14ac:dyDescent="0.25">
      <c r="A5" s="80" t="s">
        <v>7</v>
      </c>
      <c r="B5" s="522">
        <f>B53</f>
        <v>85292</v>
      </c>
      <c r="C5" s="469" t="s">
        <v>17</v>
      </c>
      <c r="D5" s="249" t="s">
        <v>18</v>
      </c>
      <c r="E5" s="249" t="s">
        <v>19</v>
      </c>
      <c r="F5" s="249" t="s">
        <v>54</v>
      </c>
      <c r="G5" s="249" t="s">
        <v>9</v>
      </c>
      <c r="H5" s="469" t="s">
        <v>17</v>
      </c>
      <c r="I5" s="249" t="s">
        <v>18</v>
      </c>
      <c r="J5" s="249" t="s">
        <v>19</v>
      </c>
      <c r="K5" s="249" t="s">
        <v>76</v>
      </c>
      <c r="L5" s="249" t="s">
        <v>9</v>
      </c>
      <c r="M5" s="698" t="s">
        <v>5</v>
      </c>
      <c r="N5" s="528" t="s">
        <v>17</v>
      </c>
      <c r="O5" s="529" t="s">
        <v>18</v>
      </c>
      <c r="P5" s="529" t="s">
        <v>83</v>
      </c>
      <c r="Q5" s="590" t="s">
        <v>76</v>
      </c>
      <c r="R5" s="584" t="s">
        <v>5</v>
      </c>
      <c r="S5" s="248" t="s">
        <v>17</v>
      </c>
      <c r="T5" s="249" t="s">
        <v>18</v>
      </c>
      <c r="U5" s="249" t="s">
        <v>83</v>
      </c>
      <c r="V5" s="590" t="s">
        <v>76</v>
      </c>
      <c r="W5" s="584" t="s">
        <v>5</v>
      </c>
      <c r="X5" s="249" t="s">
        <v>17</v>
      </c>
      <c r="Y5" s="249" t="s">
        <v>18</v>
      </c>
      <c r="Z5" s="249" t="s">
        <v>83</v>
      </c>
      <c r="AA5" s="590" t="s">
        <v>76</v>
      </c>
      <c r="AB5" s="584" t="s">
        <v>5</v>
      </c>
      <c r="AC5" s="248" t="s">
        <v>17</v>
      </c>
      <c r="AD5" s="249" t="s">
        <v>18</v>
      </c>
      <c r="AE5" s="249" t="s">
        <v>83</v>
      </c>
      <c r="AF5" s="590" t="s">
        <v>76</v>
      </c>
      <c r="AG5" s="584" t="s">
        <v>5</v>
      </c>
      <c r="AH5" s="248" t="s">
        <v>17</v>
      </c>
      <c r="AI5" s="249" t="s">
        <v>18</v>
      </c>
      <c r="AJ5" s="249" t="s">
        <v>83</v>
      </c>
      <c r="AK5" s="590" t="s">
        <v>76</v>
      </c>
      <c r="AL5" s="584" t="s">
        <v>5</v>
      </c>
      <c r="AM5" s="248" t="s">
        <v>17</v>
      </c>
      <c r="AN5" s="249" t="s">
        <v>18</v>
      </c>
      <c r="AO5" s="249" t="s">
        <v>83</v>
      </c>
      <c r="AP5" s="590" t="s">
        <v>76</v>
      </c>
      <c r="AQ5" s="584" t="s">
        <v>5</v>
      </c>
      <c r="AR5" s="248" t="s">
        <v>17</v>
      </c>
      <c r="AS5" s="249" t="s">
        <v>18</v>
      </c>
      <c r="AT5" s="249" t="s">
        <v>83</v>
      </c>
      <c r="AU5" s="590" t="s">
        <v>76</v>
      </c>
      <c r="AV5" s="584" t="s">
        <v>5</v>
      </c>
      <c r="AW5" s="248" t="s">
        <v>17</v>
      </c>
      <c r="AX5" s="249" t="s">
        <v>18</v>
      </c>
      <c r="AY5" s="249" t="s">
        <v>83</v>
      </c>
      <c r="AZ5" s="590" t="s">
        <v>76</v>
      </c>
      <c r="BA5" s="584" t="s">
        <v>5</v>
      </c>
      <c r="BB5" s="248" t="s">
        <v>17</v>
      </c>
      <c r="BC5" s="249" t="s">
        <v>18</v>
      </c>
      <c r="BD5" s="249" t="s">
        <v>83</v>
      </c>
      <c r="BE5" s="590" t="s">
        <v>76</v>
      </c>
      <c r="BF5" s="591"/>
      <c r="BG5" s="248" t="s">
        <v>17</v>
      </c>
      <c r="BH5" s="249" t="s">
        <v>18</v>
      </c>
      <c r="BI5" s="249" t="s">
        <v>83</v>
      </c>
      <c r="BJ5" s="590" t="s">
        <v>76</v>
      </c>
      <c r="BK5" s="584" t="s">
        <v>5</v>
      </c>
      <c r="BL5" s="248" t="s">
        <v>17</v>
      </c>
      <c r="BM5" s="249" t="s">
        <v>18</v>
      </c>
      <c r="BN5" s="249" t="s">
        <v>83</v>
      </c>
      <c r="BO5" s="590" t="s">
        <v>76</v>
      </c>
      <c r="BP5" s="584" t="s">
        <v>5</v>
      </c>
      <c r="BQ5" s="248" t="s">
        <v>17</v>
      </c>
      <c r="BR5" s="249" t="s">
        <v>18</v>
      </c>
      <c r="BS5" s="249" t="s">
        <v>83</v>
      </c>
      <c r="BT5" s="590" t="s">
        <v>76</v>
      </c>
      <c r="BU5" s="584" t="s">
        <v>5</v>
      </c>
      <c r="BV5" s="248" t="s">
        <v>17</v>
      </c>
      <c r="BW5" s="249" t="s">
        <v>18</v>
      </c>
      <c r="BX5" s="249" t="s">
        <v>83</v>
      </c>
      <c r="BY5" s="590" t="s">
        <v>76</v>
      </c>
      <c r="BZ5" s="547" t="s">
        <v>5</v>
      </c>
      <c r="CA5" s="248" t="s">
        <v>17</v>
      </c>
      <c r="CB5" s="249" t="s">
        <v>18</v>
      </c>
      <c r="CC5" s="249" t="s">
        <v>83</v>
      </c>
      <c r="CD5" s="590" t="s">
        <v>76</v>
      </c>
      <c r="CE5" s="584" t="s">
        <v>5</v>
      </c>
      <c r="CF5" s="248" t="s">
        <v>17</v>
      </c>
      <c r="CG5" s="249" t="s">
        <v>18</v>
      </c>
      <c r="CH5" s="249" t="s">
        <v>19</v>
      </c>
      <c r="CI5" s="590" t="s">
        <v>76</v>
      </c>
      <c r="CJ5" s="584" t="s">
        <v>5</v>
      </c>
    </row>
    <row r="6" spans="1:88" ht="20.100000000000001" customHeight="1" x14ac:dyDescent="0.25">
      <c r="A6" s="210">
        <v>44092</v>
      </c>
      <c r="B6" s="787">
        <f>SUM(C6:G6)</f>
        <v>1</v>
      </c>
      <c r="C6" s="541">
        <f>H6</f>
        <v>0</v>
      </c>
      <c r="D6" s="542">
        <f>I6</f>
        <v>0</v>
      </c>
      <c r="E6" s="542">
        <f t="shared" ref="E6:G6" si="0">J6</f>
        <v>1</v>
      </c>
      <c r="F6" s="542">
        <f t="shared" si="0"/>
        <v>0</v>
      </c>
      <c r="G6" s="543">
        <f t="shared" si="0"/>
        <v>0</v>
      </c>
      <c r="H6" s="539">
        <v>0</v>
      </c>
      <c r="I6" s="372">
        <v>0</v>
      </c>
      <c r="J6" s="372">
        <v>1</v>
      </c>
      <c r="K6" s="372">
        <v>0</v>
      </c>
      <c r="L6" s="372">
        <v>0</v>
      </c>
      <c r="M6" s="699">
        <f>SUM(H6:L6)</f>
        <v>1</v>
      </c>
      <c r="N6" s="525"/>
      <c r="O6" s="525"/>
      <c r="P6" s="525"/>
      <c r="Q6" s="525"/>
      <c r="R6" s="585"/>
      <c r="S6" s="535"/>
      <c r="T6" s="380"/>
      <c r="U6" s="380"/>
      <c r="V6" s="380"/>
      <c r="W6" s="585"/>
      <c r="X6" s="380"/>
      <c r="Y6" s="380"/>
      <c r="Z6" s="380"/>
      <c r="AA6" s="380"/>
      <c r="AB6" s="593"/>
      <c r="AC6" s="380"/>
      <c r="AD6" s="380"/>
      <c r="AE6" s="380"/>
      <c r="AF6" s="380"/>
      <c r="AG6" s="593"/>
      <c r="AH6" s="380"/>
      <c r="AI6" s="380"/>
      <c r="AJ6" s="380"/>
      <c r="AK6" s="380"/>
      <c r="AL6" s="593"/>
      <c r="AM6" s="380"/>
      <c r="AN6" s="380"/>
      <c r="AO6" s="380"/>
      <c r="AP6" s="380"/>
      <c r="AQ6" s="598"/>
      <c r="AR6" s="380"/>
      <c r="AS6" s="380"/>
      <c r="AT6" s="380"/>
      <c r="AU6" s="380"/>
      <c r="AV6" s="593"/>
      <c r="AW6" s="380"/>
      <c r="AX6" s="380"/>
      <c r="AY6" s="380"/>
      <c r="AZ6" s="380"/>
      <c r="BA6" s="593"/>
      <c r="BB6" s="592"/>
      <c r="BC6" s="592"/>
      <c r="BD6" s="592"/>
      <c r="BE6" s="592"/>
      <c r="BF6" s="593"/>
      <c r="BG6" s="380"/>
      <c r="BH6" s="380"/>
      <c r="BI6" s="380"/>
      <c r="BJ6" s="380"/>
      <c r="BK6" s="593"/>
      <c r="BL6" s="380"/>
      <c r="BM6" s="380"/>
      <c r="BN6" s="380"/>
      <c r="BO6" s="380"/>
      <c r="BP6" s="593"/>
      <c r="BQ6" s="380"/>
      <c r="BR6" s="380"/>
      <c r="BS6" s="380"/>
      <c r="BT6" s="380"/>
      <c r="BU6" s="593"/>
      <c r="BV6" s="380"/>
      <c r="BW6" s="380"/>
      <c r="BX6" s="380"/>
      <c r="BY6" s="380"/>
      <c r="BZ6" s="593"/>
      <c r="CA6" s="380"/>
      <c r="CB6" s="380"/>
      <c r="CC6" s="380"/>
      <c r="CD6" s="380"/>
      <c r="CE6" s="593"/>
      <c r="CF6" s="380"/>
      <c r="CG6" s="380"/>
      <c r="CH6" s="380"/>
      <c r="CI6" s="380"/>
      <c r="CJ6" s="593"/>
    </row>
    <row r="7" spans="1:88" s="84" customFormat="1" ht="20.100000000000001" customHeight="1" x14ac:dyDescent="0.25">
      <c r="A7" s="363">
        <v>44093</v>
      </c>
      <c r="B7" s="788">
        <f t="shared" ref="B7:B52" si="1">SUM(C7:G7)</f>
        <v>26</v>
      </c>
      <c r="C7" s="544">
        <f>H7</f>
        <v>7</v>
      </c>
      <c r="D7" s="545">
        <f t="shared" ref="D7:D31" si="2">I7</f>
        <v>6</v>
      </c>
      <c r="E7" s="545">
        <f t="shared" ref="E7:E31" si="3">J7</f>
        <v>13</v>
      </c>
      <c r="F7" s="545">
        <f t="shared" ref="F7:F31" si="4">K7</f>
        <v>0</v>
      </c>
      <c r="G7" s="546">
        <f t="shared" ref="G7:G31" si="5">L7</f>
        <v>0</v>
      </c>
      <c r="H7" s="215">
        <v>7</v>
      </c>
      <c r="I7" s="216">
        <v>6</v>
      </c>
      <c r="J7" s="216">
        <v>13</v>
      </c>
      <c r="K7" s="216">
        <v>0</v>
      </c>
      <c r="L7" s="216">
        <v>0</v>
      </c>
      <c r="M7" s="601">
        <f>SUM(H7:L7)</f>
        <v>26</v>
      </c>
      <c r="N7" s="526"/>
      <c r="O7" s="526"/>
      <c r="P7" s="526"/>
      <c r="Q7" s="526"/>
      <c r="R7" s="586"/>
      <c r="S7" s="373"/>
      <c r="T7" s="211"/>
      <c r="U7" s="211"/>
      <c r="V7" s="211"/>
      <c r="W7" s="586"/>
      <c r="X7" s="211"/>
      <c r="Y7" s="211"/>
      <c r="Z7" s="211"/>
      <c r="AA7" s="211"/>
      <c r="AB7" s="531"/>
      <c r="AC7" s="211"/>
      <c r="AD7" s="211"/>
      <c r="AE7" s="211"/>
      <c r="AF7" s="211"/>
      <c r="AG7" s="531"/>
      <c r="AH7" s="211"/>
      <c r="AI7" s="211"/>
      <c r="AJ7" s="211"/>
      <c r="AK7" s="211"/>
      <c r="AL7" s="531"/>
      <c r="AM7" s="211"/>
      <c r="AN7" s="211"/>
      <c r="AO7" s="211"/>
      <c r="AP7" s="211"/>
      <c r="AQ7" s="531"/>
      <c r="AR7" s="211"/>
      <c r="AS7" s="211"/>
      <c r="AT7" s="211"/>
      <c r="AU7" s="211"/>
      <c r="AV7" s="531"/>
      <c r="AW7" s="211"/>
      <c r="AX7" s="211"/>
      <c r="AY7" s="211"/>
      <c r="AZ7" s="211"/>
      <c r="BA7" s="531"/>
      <c r="BB7" s="530"/>
      <c r="BC7" s="530"/>
      <c r="BD7" s="530"/>
      <c r="BE7" s="530"/>
      <c r="BF7" s="531"/>
      <c r="BG7" s="211"/>
      <c r="BH7" s="211"/>
      <c r="BI7" s="211"/>
      <c r="BJ7" s="211"/>
      <c r="BK7" s="531"/>
      <c r="BL7" s="211"/>
      <c r="BM7" s="211"/>
      <c r="BN7" s="211"/>
      <c r="BO7" s="211"/>
      <c r="BP7" s="531"/>
      <c r="BQ7" s="211"/>
      <c r="BR7" s="211"/>
      <c r="BS7" s="211"/>
      <c r="BT7" s="211"/>
      <c r="BU7" s="531"/>
      <c r="BV7" s="211"/>
      <c r="BW7" s="211"/>
      <c r="BX7" s="211"/>
      <c r="BY7" s="211"/>
      <c r="BZ7" s="531"/>
      <c r="CA7" s="211"/>
      <c r="CB7" s="211"/>
      <c r="CC7" s="211"/>
      <c r="CD7" s="211"/>
      <c r="CE7" s="531"/>
      <c r="CF7" s="211"/>
      <c r="CG7" s="211"/>
      <c r="CH7" s="211"/>
      <c r="CI7" s="211"/>
      <c r="CJ7" s="531"/>
    </row>
    <row r="8" spans="1:88" ht="20.100000000000001" customHeight="1" x14ac:dyDescent="0.25">
      <c r="A8" s="352">
        <v>44094</v>
      </c>
      <c r="B8" s="789"/>
      <c r="C8" s="558"/>
      <c r="D8" s="559"/>
      <c r="E8" s="559"/>
      <c r="F8" s="559"/>
      <c r="G8" s="560"/>
      <c r="H8" s="242"/>
      <c r="I8" s="240"/>
      <c r="J8" s="240"/>
      <c r="K8" s="240"/>
      <c r="L8" s="240"/>
      <c r="M8" s="495"/>
      <c r="N8" s="523"/>
      <c r="O8" s="523"/>
      <c r="P8" s="523"/>
      <c r="Q8" s="523"/>
      <c r="R8" s="532"/>
      <c r="S8" s="374"/>
      <c r="T8" s="240"/>
      <c r="U8" s="240"/>
      <c r="V8" s="240"/>
      <c r="W8" s="599"/>
      <c r="X8" s="240"/>
      <c r="Y8" s="240"/>
      <c r="Z8" s="240"/>
      <c r="AA8" s="240"/>
      <c r="AB8" s="532"/>
      <c r="AC8" s="240"/>
      <c r="AD8" s="240"/>
      <c r="AE8" s="240"/>
      <c r="AF8" s="240"/>
      <c r="AG8" s="532"/>
      <c r="AH8" s="240"/>
      <c r="AI8" s="240"/>
      <c r="AJ8" s="240"/>
      <c r="AK8" s="240"/>
      <c r="AL8" s="532"/>
      <c r="AM8" s="240"/>
      <c r="AN8" s="240"/>
      <c r="AO8" s="240"/>
      <c r="AP8" s="240"/>
      <c r="AQ8" s="532"/>
      <c r="AR8" s="240"/>
      <c r="AS8" s="240"/>
      <c r="AT8" s="240"/>
      <c r="AU8" s="240"/>
      <c r="AV8" s="532"/>
      <c r="AW8" s="240"/>
      <c r="AX8" s="240"/>
      <c r="AY8" s="240"/>
      <c r="AZ8" s="240"/>
      <c r="BA8" s="532"/>
      <c r="BB8" s="523"/>
      <c r="BC8" s="523"/>
      <c r="BD8" s="523"/>
      <c r="BE8" s="523"/>
      <c r="BF8" s="532"/>
      <c r="BG8" s="240"/>
      <c r="BH8" s="240"/>
      <c r="BI8" s="240"/>
      <c r="BJ8" s="240"/>
      <c r="BK8" s="532"/>
      <c r="BL8" s="240"/>
      <c r="BM8" s="240"/>
      <c r="BN8" s="240"/>
      <c r="BO8" s="240"/>
      <c r="BP8" s="532"/>
      <c r="BQ8" s="240"/>
      <c r="BR8" s="240"/>
      <c r="BS8" s="240"/>
      <c r="BT8" s="240"/>
      <c r="BU8" s="532"/>
      <c r="BV8" s="240"/>
      <c r="BW8" s="240"/>
      <c r="BX8" s="240"/>
      <c r="BY8" s="240"/>
      <c r="BZ8" s="532"/>
      <c r="CA8" s="240"/>
      <c r="CB8" s="240"/>
      <c r="CC8" s="240"/>
      <c r="CD8" s="240"/>
      <c r="CE8" s="532"/>
      <c r="CF8" s="240"/>
      <c r="CG8" s="240"/>
      <c r="CH8" s="240"/>
      <c r="CI8" s="240"/>
      <c r="CJ8" s="532"/>
    </row>
    <row r="9" spans="1:88" ht="20.100000000000001" customHeight="1" x14ac:dyDescent="0.25">
      <c r="A9" s="210">
        <v>44095</v>
      </c>
      <c r="B9" s="788">
        <f t="shared" si="1"/>
        <v>137</v>
      </c>
      <c r="C9" s="544">
        <f t="shared" ref="C9:C16" si="6">H9</f>
        <v>13</v>
      </c>
      <c r="D9" s="545">
        <f t="shared" si="2"/>
        <v>32</v>
      </c>
      <c r="E9" s="545">
        <f t="shared" si="3"/>
        <v>91</v>
      </c>
      <c r="F9" s="545">
        <f t="shared" si="4"/>
        <v>1</v>
      </c>
      <c r="G9" s="546">
        <f t="shared" si="5"/>
        <v>0</v>
      </c>
      <c r="H9" s="324">
        <v>13</v>
      </c>
      <c r="I9" s="323">
        <v>32</v>
      </c>
      <c r="J9" s="323">
        <v>91</v>
      </c>
      <c r="K9" s="323">
        <v>1</v>
      </c>
      <c r="L9" s="323">
        <v>0</v>
      </c>
      <c r="M9" s="611">
        <f t="shared" ref="M9:M16" si="7">SUM(H9:L9)</f>
        <v>137</v>
      </c>
      <c r="N9" s="527"/>
      <c r="O9" s="527"/>
      <c r="P9" s="527"/>
      <c r="Q9" s="527"/>
      <c r="R9" s="587"/>
      <c r="S9" s="533"/>
      <c r="T9" s="241"/>
      <c r="U9" s="241"/>
      <c r="V9" s="241"/>
      <c r="W9" s="587"/>
      <c r="X9" s="241"/>
      <c r="Y9" s="241"/>
      <c r="Z9" s="241"/>
      <c r="AA9" s="241"/>
      <c r="AB9" s="595"/>
      <c r="AC9" s="241"/>
      <c r="AD9" s="241"/>
      <c r="AE9" s="241"/>
      <c r="AF9" s="241"/>
      <c r="AG9" s="595"/>
      <c r="AH9" s="241"/>
      <c r="AI9" s="241"/>
      <c r="AJ9" s="241"/>
      <c r="AK9" s="241"/>
      <c r="AL9" s="595"/>
      <c r="AM9" s="241"/>
      <c r="AN9" s="241"/>
      <c r="AO9" s="241"/>
      <c r="AP9" s="241"/>
      <c r="AQ9" s="595"/>
      <c r="AR9" s="241"/>
      <c r="AS9" s="241"/>
      <c r="AT9" s="241"/>
      <c r="AU9" s="241"/>
      <c r="AV9" s="595"/>
      <c r="AW9" s="241"/>
      <c r="AX9" s="241"/>
      <c r="AY9" s="241"/>
      <c r="AZ9" s="241"/>
      <c r="BA9" s="595"/>
      <c r="BB9" s="594"/>
      <c r="BC9" s="594"/>
      <c r="BD9" s="594"/>
      <c r="BE9" s="594"/>
      <c r="BF9" s="595"/>
      <c r="BG9" s="241"/>
      <c r="BH9" s="241"/>
      <c r="BI9" s="241"/>
      <c r="BJ9" s="241"/>
      <c r="BK9" s="595"/>
      <c r="BL9" s="241"/>
      <c r="BM9" s="241"/>
      <c r="BN9" s="241"/>
      <c r="BO9" s="241"/>
      <c r="BP9" s="595"/>
      <c r="BQ9" s="241"/>
      <c r="BR9" s="241"/>
      <c r="BS9" s="241"/>
      <c r="BT9" s="241"/>
      <c r="BU9" s="595"/>
      <c r="BV9" s="241"/>
      <c r="BW9" s="241"/>
      <c r="BX9" s="241"/>
      <c r="BY9" s="241"/>
      <c r="BZ9" s="595"/>
      <c r="CA9" s="241"/>
      <c r="CB9" s="241"/>
      <c r="CC9" s="241"/>
      <c r="CD9" s="241"/>
      <c r="CE9" s="595"/>
      <c r="CF9" s="241"/>
      <c r="CG9" s="241"/>
      <c r="CH9" s="241"/>
      <c r="CI9" s="241"/>
      <c r="CJ9" s="595"/>
    </row>
    <row r="10" spans="1:88" ht="20.100000000000001" customHeight="1" x14ac:dyDescent="0.25">
      <c r="A10" s="210">
        <v>44096</v>
      </c>
      <c r="B10" s="788">
        <f t="shared" si="1"/>
        <v>457</v>
      </c>
      <c r="C10" s="544">
        <f t="shared" si="6"/>
        <v>71</v>
      </c>
      <c r="D10" s="545">
        <f t="shared" si="2"/>
        <v>99</v>
      </c>
      <c r="E10" s="545">
        <f t="shared" si="3"/>
        <v>281</v>
      </c>
      <c r="F10" s="545">
        <f t="shared" si="4"/>
        <v>6</v>
      </c>
      <c r="G10" s="546">
        <f t="shared" si="5"/>
        <v>0</v>
      </c>
      <c r="H10" s="213">
        <v>71</v>
      </c>
      <c r="I10" s="212">
        <v>99</v>
      </c>
      <c r="J10" s="212">
        <v>281</v>
      </c>
      <c r="K10" s="212">
        <v>6</v>
      </c>
      <c r="L10" s="516">
        <v>0</v>
      </c>
      <c r="M10" s="611">
        <f t="shared" si="7"/>
        <v>457</v>
      </c>
      <c r="N10" s="527"/>
      <c r="O10" s="527"/>
      <c r="P10" s="527"/>
      <c r="Q10" s="527"/>
      <c r="R10" s="587"/>
      <c r="S10" s="373"/>
      <c r="T10" s="211"/>
      <c r="U10" s="211"/>
      <c r="V10" s="211"/>
      <c r="W10" s="587"/>
      <c r="X10" s="211"/>
      <c r="Y10" s="211"/>
      <c r="Z10" s="211"/>
      <c r="AA10" s="211"/>
      <c r="AB10" s="595"/>
      <c r="AC10" s="211"/>
      <c r="AD10" s="211"/>
      <c r="AE10" s="211"/>
      <c r="AF10" s="211"/>
      <c r="AG10" s="595"/>
      <c r="AH10" s="211"/>
      <c r="AI10" s="211"/>
      <c r="AJ10" s="211"/>
      <c r="AK10" s="211"/>
      <c r="AL10" s="595"/>
      <c r="AM10" s="211"/>
      <c r="AN10" s="211"/>
      <c r="AO10" s="211"/>
      <c r="AP10" s="211"/>
      <c r="AQ10" s="595"/>
      <c r="AR10" s="211"/>
      <c r="AS10" s="211"/>
      <c r="AT10" s="211"/>
      <c r="AU10" s="211"/>
      <c r="AV10" s="595"/>
      <c r="AW10" s="211"/>
      <c r="AX10" s="211"/>
      <c r="AY10" s="211"/>
      <c r="AZ10" s="211"/>
      <c r="BA10" s="595"/>
      <c r="BB10" s="594"/>
      <c r="BC10" s="594"/>
      <c r="BD10" s="594"/>
      <c r="BE10" s="594"/>
      <c r="BF10" s="595"/>
      <c r="BG10" s="211"/>
      <c r="BH10" s="211"/>
      <c r="BI10" s="211"/>
      <c r="BJ10" s="211"/>
      <c r="BK10" s="595"/>
      <c r="BL10" s="211"/>
      <c r="BM10" s="211"/>
      <c r="BN10" s="211"/>
      <c r="BO10" s="211"/>
      <c r="BP10" s="595"/>
      <c r="BQ10" s="211"/>
      <c r="BR10" s="211"/>
      <c r="BS10" s="211"/>
      <c r="BT10" s="211"/>
      <c r="BU10" s="595"/>
      <c r="BV10" s="211"/>
      <c r="BW10" s="211"/>
      <c r="BX10" s="211"/>
      <c r="BY10" s="211"/>
      <c r="BZ10" s="595"/>
      <c r="CA10" s="211"/>
      <c r="CB10" s="211"/>
      <c r="CC10" s="211"/>
      <c r="CD10" s="211"/>
      <c r="CE10" s="595"/>
      <c r="CF10" s="211"/>
      <c r="CG10" s="211"/>
      <c r="CH10" s="211"/>
      <c r="CI10" s="211"/>
      <c r="CJ10" s="595"/>
    </row>
    <row r="11" spans="1:88" ht="20.100000000000001" customHeight="1" x14ac:dyDescent="0.25">
      <c r="A11" s="210">
        <v>44097</v>
      </c>
      <c r="B11" s="788">
        <f t="shared" si="1"/>
        <v>561</v>
      </c>
      <c r="C11" s="544">
        <f t="shared" si="6"/>
        <v>78</v>
      </c>
      <c r="D11" s="545">
        <f t="shared" si="2"/>
        <v>140</v>
      </c>
      <c r="E11" s="545">
        <f t="shared" si="3"/>
        <v>338</v>
      </c>
      <c r="F11" s="545">
        <f t="shared" si="4"/>
        <v>2</v>
      </c>
      <c r="G11" s="546">
        <f t="shared" si="5"/>
        <v>3</v>
      </c>
      <c r="H11" s="213">
        <v>78</v>
      </c>
      <c r="I11" s="212">
        <v>140</v>
      </c>
      <c r="J11" s="212">
        <v>338</v>
      </c>
      <c r="K11" s="212">
        <v>2</v>
      </c>
      <c r="L11" s="212">
        <v>3</v>
      </c>
      <c r="M11" s="601">
        <f t="shared" si="7"/>
        <v>561</v>
      </c>
      <c r="N11" s="526"/>
      <c r="O11" s="526"/>
      <c r="P11" s="526"/>
      <c r="Q11" s="526"/>
      <c r="R11" s="586"/>
      <c r="S11" s="373"/>
      <c r="T11" s="211"/>
      <c r="U11" s="211"/>
      <c r="V11" s="211"/>
      <c r="W11" s="586"/>
      <c r="X11" s="211"/>
      <c r="Y11" s="211"/>
      <c r="Z11" s="211"/>
      <c r="AA11" s="211"/>
      <c r="AB11" s="531"/>
      <c r="AC11" s="211"/>
      <c r="AD11" s="211"/>
      <c r="AE11" s="211"/>
      <c r="AF11" s="211"/>
      <c r="AG11" s="531"/>
      <c r="AH11" s="211"/>
      <c r="AI11" s="211"/>
      <c r="AJ11" s="211"/>
      <c r="AK11" s="211"/>
      <c r="AL11" s="531"/>
      <c r="AM11" s="211"/>
      <c r="AN11" s="211"/>
      <c r="AO11" s="211"/>
      <c r="AP11" s="211"/>
      <c r="AQ11" s="531"/>
      <c r="AR11" s="211"/>
      <c r="AS11" s="211"/>
      <c r="AT11" s="211"/>
      <c r="AU11" s="211"/>
      <c r="AV11" s="531"/>
      <c r="AW11" s="211"/>
      <c r="AX11" s="211"/>
      <c r="AY11" s="211"/>
      <c r="AZ11" s="211"/>
      <c r="BA11" s="531"/>
      <c r="BB11" s="530"/>
      <c r="BC11" s="530"/>
      <c r="BD11" s="530"/>
      <c r="BE11" s="530"/>
      <c r="BF11" s="531"/>
      <c r="BG11" s="211"/>
      <c r="BH11" s="211"/>
      <c r="BI11" s="211"/>
      <c r="BJ11" s="211"/>
      <c r="BK11" s="531"/>
      <c r="BL11" s="211"/>
      <c r="BM11" s="211"/>
      <c r="BN11" s="211"/>
      <c r="BO11" s="211"/>
      <c r="BP11" s="531"/>
      <c r="BQ11" s="211"/>
      <c r="BR11" s="211"/>
      <c r="BS11" s="211"/>
      <c r="BT11" s="211"/>
      <c r="BU11" s="531"/>
      <c r="BV11" s="211"/>
      <c r="BW11" s="211"/>
      <c r="BX11" s="211"/>
      <c r="BY11" s="211"/>
      <c r="BZ11" s="531"/>
      <c r="CA11" s="211"/>
      <c r="CB11" s="211"/>
      <c r="CC11" s="211"/>
      <c r="CD11" s="211"/>
      <c r="CE11" s="531"/>
      <c r="CF11" s="211"/>
      <c r="CG11" s="211"/>
      <c r="CH11" s="211"/>
      <c r="CI11" s="211"/>
      <c r="CJ11" s="531"/>
    </row>
    <row r="12" spans="1:88" ht="20.100000000000001" customHeight="1" x14ac:dyDescent="0.25">
      <c r="A12" s="210">
        <v>44098</v>
      </c>
      <c r="B12" s="788">
        <f t="shared" si="1"/>
        <v>852</v>
      </c>
      <c r="C12" s="544">
        <f t="shared" si="6"/>
        <v>134</v>
      </c>
      <c r="D12" s="545">
        <f t="shared" si="2"/>
        <v>197</v>
      </c>
      <c r="E12" s="545">
        <f t="shared" si="3"/>
        <v>507</v>
      </c>
      <c r="F12" s="545">
        <f t="shared" si="4"/>
        <v>7</v>
      </c>
      <c r="G12" s="546">
        <f t="shared" si="5"/>
        <v>7</v>
      </c>
      <c r="H12" s="213">
        <v>134</v>
      </c>
      <c r="I12" s="212">
        <v>197</v>
      </c>
      <c r="J12" s="212">
        <v>507</v>
      </c>
      <c r="K12" s="212">
        <v>7</v>
      </c>
      <c r="L12" s="212">
        <v>7</v>
      </c>
      <c r="M12" s="601">
        <f t="shared" si="7"/>
        <v>852</v>
      </c>
      <c r="N12" s="526"/>
      <c r="O12" s="526"/>
      <c r="P12" s="526"/>
      <c r="Q12" s="526"/>
      <c r="R12" s="586"/>
      <c r="S12" s="373"/>
      <c r="T12" s="211"/>
      <c r="U12" s="211"/>
      <c r="V12" s="211"/>
      <c r="W12" s="586"/>
      <c r="X12" s="211"/>
      <c r="Y12" s="211"/>
      <c r="Z12" s="211"/>
      <c r="AA12" s="211"/>
      <c r="AB12" s="531"/>
      <c r="AC12" s="211"/>
      <c r="AD12" s="211"/>
      <c r="AE12" s="211"/>
      <c r="AF12" s="211"/>
      <c r="AG12" s="531"/>
      <c r="AH12" s="211"/>
      <c r="AI12" s="211"/>
      <c r="AJ12" s="211"/>
      <c r="AK12" s="211"/>
      <c r="AL12" s="531"/>
      <c r="AM12" s="211"/>
      <c r="AN12" s="211"/>
      <c r="AO12" s="211"/>
      <c r="AP12" s="211"/>
      <c r="AQ12" s="531"/>
      <c r="AR12" s="211"/>
      <c r="AS12" s="211"/>
      <c r="AT12" s="211"/>
      <c r="AU12" s="211"/>
      <c r="AV12" s="531"/>
      <c r="AW12" s="211"/>
      <c r="AX12" s="211"/>
      <c r="AY12" s="211"/>
      <c r="AZ12" s="211"/>
      <c r="BA12" s="531"/>
      <c r="BB12" s="530"/>
      <c r="BC12" s="530"/>
      <c r="BD12" s="530"/>
      <c r="BE12" s="530"/>
      <c r="BF12" s="531"/>
      <c r="BG12" s="211"/>
      <c r="BH12" s="211"/>
      <c r="BI12" s="211"/>
      <c r="BJ12" s="211"/>
      <c r="BK12" s="531"/>
      <c r="BL12" s="211"/>
      <c r="BM12" s="211"/>
      <c r="BN12" s="211"/>
      <c r="BO12" s="211"/>
      <c r="BP12" s="531"/>
      <c r="BQ12" s="211"/>
      <c r="BR12" s="211"/>
      <c r="BS12" s="211"/>
      <c r="BT12" s="211"/>
      <c r="BU12" s="531"/>
      <c r="BV12" s="211"/>
      <c r="BW12" s="211"/>
      <c r="BX12" s="211"/>
      <c r="BY12" s="211"/>
      <c r="BZ12" s="531"/>
      <c r="CA12" s="211"/>
      <c r="CB12" s="211"/>
      <c r="CC12" s="211"/>
      <c r="CD12" s="211"/>
      <c r="CE12" s="531"/>
      <c r="CF12" s="211"/>
      <c r="CG12" s="211"/>
      <c r="CH12" s="211"/>
      <c r="CI12" s="211"/>
      <c r="CJ12" s="531"/>
    </row>
    <row r="13" spans="1:88" ht="20.100000000000001" customHeight="1" x14ac:dyDescent="0.25">
      <c r="A13" s="210">
        <v>44099</v>
      </c>
      <c r="B13" s="788">
        <f t="shared" si="1"/>
        <v>1289</v>
      </c>
      <c r="C13" s="544">
        <f t="shared" si="6"/>
        <v>215</v>
      </c>
      <c r="D13" s="545">
        <f t="shared" si="2"/>
        <v>283</v>
      </c>
      <c r="E13" s="545">
        <f t="shared" si="3"/>
        <v>777</v>
      </c>
      <c r="F13" s="545">
        <f t="shared" si="4"/>
        <v>13</v>
      </c>
      <c r="G13" s="546">
        <f t="shared" si="5"/>
        <v>1</v>
      </c>
      <c r="H13" s="213">
        <v>215</v>
      </c>
      <c r="I13" s="212">
        <v>283</v>
      </c>
      <c r="J13" s="212">
        <v>777</v>
      </c>
      <c r="K13" s="212">
        <v>13</v>
      </c>
      <c r="L13" s="212">
        <v>1</v>
      </c>
      <c r="M13" s="601">
        <f t="shared" si="7"/>
        <v>1289</v>
      </c>
      <c r="N13" s="526"/>
      <c r="O13" s="526"/>
      <c r="P13" s="526"/>
      <c r="Q13" s="526"/>
      <c r="R13" s="586"/>
      <c r="S13" s="373"/>
      <c r="T13" s="211"/>
      <c r="U13" s="211"/>
      <c r="V13" s="211"/>
      <c r="W13" s="586"/>
      <c r="X13" s="211"/>
      <c r="Y13" s="211"/>
      <c r="Z13" s="211"/>
      <c r="AA13" s="211"/>
      <c r="AB13" s="531"/>
      <c r="AC13" s="211"/>
      <c r="AD13" s="211"/>
      <c r="AE13" s="211"/>
      <c r="AF13" s="211"/>
      <c r="AG13" s="531"/>
      <c r="AH13" s="211"/>
      <c r="AI13" s="211"/>
      <c r="AJ13" s="211"/>
      <c r="AK13" s="211"/>
      <c r="AL13" s="531"/>
      <c r="AM13" s="211"/>
      <c r="AN13" s="211"/>
      <c r="AO13" s="211"/>
      <c r="AP13" s="211"/>
      <c r="AQ13" s="531"/>
      <c r="AR13" s="211"/>
      <c r="AS13" s="211"/>
      <c r="AT13" s="211"/>
      <c r="AU13" s="211"/>
      <c r="AV13" s="531"/>
      <c r="AW13" s="211"/>
      <c r="AX13" s="211"/>
      <c r="AY13" s="211"/>
      <c r="AZ13" s="211"/>
      <c r="BA13" s="531"/>
      <c r="BB13" s="530"/>
      <c r="BC13" s="530"/>
      <c r="BD13" s="530"/>
      <c r="BE13" s="530"/>
      <c r="BF13" s="531"/>
      <c r="BG13" s="211"/>
      <c r="BH13" s="211"/>
      <c r="BI13" s="211"/>
      <c r="BJ13" s="211"/>
      <c r="BK13" s="531"/>
      <c r="BL13" s="211"/>
      <c r="BM13" s="211"/>
      <c r="BN13" s="211"/>
      <c r="BO13" s="211"/>
      <c r="BP13" s="531"/>
      <c r="BQ13" s="211"/>
      <c r="BR13" s="211"/>
      <c r="BS13" s="211"/>
      <c r="BT13" s="211"/>
      <c r="BU13" s="531"/>
      <c r="BV13" s="211"/>
      <c r="BW13" s="211"/>
      <c r="BX13" s="211"/>
      <c r="BY13" s="211"/>
      <c r="BZ13" s="531"/>
      <c r="CA13" s="211"/>
      <c r="CB13" s="211"/>
      <c r="CC13" s="211"/>
      <c r="CD13" s="211"/>
      <c r="CE13" s="531"/>
      <c r="CF13" s="211"/>
      <c r="CG13" s="211"/>
      <c r="CH13" s="211"/>
      <c r="CI13" s="211"/>
      <c r="CJ13" s="531"/>
    </row>
    <row r="14" spans="1:88" ht="20.100000000000001" customHeight="1" x14ac:dyDescent="0.25">
      <c r="A14" s="363">
        <v>44100</v>
      </c>
      <c r="B14" s="788">
        <f t="shared" si="1"/>
        <v>302</v>
      </c>
      <c r="C14" s="544">
        <f t="shared" si="6"/>
        <v>40</v>
      </c>
      <c r="D14" s="545">
        <f t="shared" si="2"/>
        <v>63</v>
      </c>
      <c r="E14" s="545">
        <f t="shared" si="3"/>
        <v>196</v>
      </c>
      <c r="F14" s="545">
        <f t="shared" si="4"/>
        <v>3</v>
      </c>
      <c r="G14" s="546">
        <f t="shared" si="5"/>
        <v>0</v>
      </c>
      <c r="H14" s="215">
        <f>31+9</f>
        <v>40</v>
      </c>
      <c r="I14" s="216">
        <f>36+27</f>
        <v>63</v>
      </c>
      <c r="J14" s="216">
        <f>167+29</f>
        <v>196</v>
      </c>
      <c r="K14" s="216">
        <v>3</v>
      </c>
      <c r="L14" s="216">
        <v>0</v>
      </c>
      <c r="M14" s="601">
        <f t="shared" si="7"/>
        <v>302</v>
      </c>
      <c r="N14" s="526"/>
      <c r="O14" s="526"/>
      <c r="P14" s="526"/>
      <c r="Q14" s="526"/>
      <c r="R14" s="586"/>
      <c r="S14" s="373"/>
      <c r="T14" s="211"/>
      <c r="U14" s="211"/>
      <c r="V14" s="211"/>
      <c r="W14" s="531"/>
      <c r="X14" s="211"/>
      <c r="Y14" s="211"/>
      <c r="Z14" s="211"/>
      <c r="AA14" s="211"/>
      <c r="AB14" s="531"/>
      <c r="AC14" s="211"/>
      <c r="AD14" s="211"/>
      <c r="AE14" s="211"/>
      <c r="AF14" s="211"/>
      <c r="AG14" s="531"/>
      <c r="AH14" s="211"/>
      <c r="AI14" s="211"/>
      <c r="AJ14" s="211"/>
      <c r="AK14" s="211"/>
      <c r="AL14" s="531"/>
      <c r="AM14" s="211"/>
      <c r="AN14" s="211"/>
      <c r="AO14" s="211"/>
      <c r="AP14" s="211"/>
      <c r="AQ14" s="531"/>
      <c r="AR14" s="211"/>
      <c r="AS14" s="211"/>
      <c r="AT14" s="211"/>
      <c r="AU14" s="211"/>
      <c r="AV14" s="531"/>
      <c r="AW14" s="211"/>
      <c r="AX14" s="211"/>
      <c r="AY14" s="211"/>
      <c r="AZ14" s="211"/>
      <c r="BA14" s="531"/>
      <c r="BB14" s="530"/>
      <c r="BC14" s="530"/>
      <c r="BD14" s="530"/>
      <c r="BE14" s="530"/>
      <c r="BF14" s="531"/>
      <c r="BG14" s="211"/>
      <c r="BH14" s="211"/>
      <c r="BI14" s="211"/>
      <c r="BJ14" s="211"/>
      <c r="BK14" s="531"/>
      <c r="BL14" s="211"/>
      <c r="BM14" s="211"/>
      <c r="BN14" s="211"/>
      <c r="BO14" s="211"/>
      <c r="BP14" s="531"/>
      <c r="BQ14" s="211"/>
      <c r="BR14" s="211"/>
      <c r="BS14" s="211"/>
      <c r="BT14" s="211"/>
      <c r="BU14" s="531"/>
      <c r="BV14" s="211"/>
      <c r="BW14" s="211"/>
      <c r="BX14" s="211"/>
      <c r="BY14" s="211"/>
      <c r="BZ14" s="531"/>
      <c r="CA14" s="211"/>
      <c r="CB14" s="211"/>
      <c r="CC14" s="211"/>
      <c r="CD14" s="211"/>
      <c r="CE14" s="531"/>
      <c r="CF14" s="211"/>
      <c r="CG14" s="211"/>
      <c r="CH14" s="211"/>
      <c r="CI14" s="211"/>
      <c r="CJ14" s="531"/>
    </row>
    <row r="15" spans="1:88" s="84" customFormat="1" ht="20.100000000000001" customHeight="1" x14ac:dyDescent="0.25">
      <c r="A15" s="363">
        <v>44101</v>
      </c>
      <c r="B15" s="788">
        <f t="shared" si="1"/>
        <v>57</v>
      </c>
      <c r="C15" s="544">
        <f t="shared" si="6"/>
        <v>4</v>
      </c>
      <c r="D15" s="545">
        <f t="shared" si="2"/>
        <v>15</v>
      </c>
      <c r="E15" s="545">
        <f t="shared" si="3"/>
        <v>36</v>
      </c>
      <c r="F15" s="545">
        <f t="shared" si="4"/>
        <v>0</v>
      </c>
      <c r="G15" s="546">
        <f t="shared" si="5"/>
        <v>2</v>
      </c>
      <c r="H15" s="215">
        <v>4</v>
      </c>
      <c r="I15" s="216">
        <v>15</v>
      </c>
      <c r="J15" s="216">
        <v>36</v>
      </c>
      <c r="K15" s="216">
        <v>0</v>
      </c>
      <c r="L15" s="216">
        <v>2</v>
      </c>
      <c r="M15" s="601">
        <f t="shared" si="7"/>
        <v>57</v>
      </c>
      <c r="N15" s="526"/>
      <c r="O15" s="526"/>
      <c r="P15" s="526"/>
      <c r="Q15" s="526"/>
      <c r="R15" s="586"/>
      <c r="S15" s="373"/>
      <c r="T15" s="211"/>
      <c r="U15" s="211"/>
      <c r="V15" s="211"/>
      <c r="W15" s="531"/>
      <c r="X15" s="211"/>
      <c r="Y15" s="211"/>
      <c r="Z15" s="211"/>
      <c r="AA15" s="211"/>
      <c r="AB15" s="531"/>
      <c r="AC15" s="211"/>
      <c r="AD15" s="211"/>
      <c r="AE15" s="211"/>
      <c r="AF15" s="211"/>
      <c r="AG15" s="531"/>
      <c r="AH15" s="211"/>
      <c r="AI15" s="211"/>
      <c r="AJ15" s="211"/>
      <c r="AK15" s="211"/>
      <c r="AL15" s="531"/>
      <c r="AM15" s="211"/>
      <c r="AN15" s="211"/>
      <c r="AO15" s="211"/>
      <c r="AP15" s="211"/>
      <c r="AQ15" s="531"/>
      <c r="AR15" s="211"/>
      <c r="AS15" s="211"/>
      <c r="AT15" s="211"/>
      <c r="AU15" s="211"/>
      <c r="AV15" s="531"/>
      <c r="AW15" s="211"/>
      <c r="AX15" s="211"/>
      <c r="AY15" s="211"/>
      <c r="AZ15" s="211"/>
      <c r="BA15" s="531"/>
      <c r="BB15" s="530"/>
      <c r="BC15" s="530"/>
      <c r="BD15" s="530"/>
      <c r="BE15" s="530"/>
      <c r="BF15" s="531"/>
      <c r="BG15" s="211"/>
      <c r="BH15" s="211"/>
      <c r="BI15" s="211"/>
      <c r="BJ15" s="211"/>
      <c r="BK15" s="531"/>
      <c r="BL15" s="211"/>
      <c r="BM15" s="211"/>
      <c r="BN15" s="211"/>
      <c r="BO15" s="211"/>
      <c r="BP15" s="531"/>
      <c r="BQ15" s="211"/>
      <c r="BR15" s="211"/>
      <c r="BS15" s="211"/>
      <c r="BT15" s="211"/>
      <c r="BU15" s="531"/>
      <c r="BV15" s="211"/>
      <c r="BW15" s="211"/>
      <c r="BX15" s="211"/>
      <c r="BY15" s="211"/>
      <c r="BZ15" s="531"/>
      <c r="CA15" s="211"/>
      <c r="CB15" s="211"/>
      <c r="CC15" s="211"/>
      <c r="CD15" s="211"/>
      <c r="CE15" s="531"/>
      <c r="CF15" s="211"/>
      <c r="CG15" s="211"/>
      <c r="CH15" s="211"/>
      <c r="CI15" s="211"/>
      <c r="CJ15" s="531"/>
    </row>
    <row r="16" spans="1:88" ht="20.100000000000001" customHeight="1" x14ac:dyDescent="0.25">
      <c r="A16" s="210">
        <v>44102</v>
      </c>
      <c r="B16" s="788">
        <f t="shared" si="1"/>
        <v>1380</v>
      </c>
      <c r="C16" s="544">
        <f t="shared" si="6"/>
        <v>249</v>
      </c>
      <c r="D16" s="545">
        <f t="shared" si="2"/>
        <v>307</v>
      </c>
      <c r="E16" s="545">
        <f t="shared" si="3"/>
        <v>820</v>
      </c>
      <c r="F16" s="545">
        <f>K16</f>
        <v>4</v>
      </c>
      <c r="G16" s="546">
        <f t="shared" si="5"/>
        <v>0</v>
      </c>
      <c r="H16" s="213">
        <f>81+168</f>
        <v>249</v>
      </c>
      <c r="I16" s="212">
        <f>90+217</f>
        <v>307</v>
      </c>
      <c r="J16" s="212">
        <f>210+610</f>
        <v>820</v>
      </c>
      <c r="K16" s="212">
        <v>4</v>
      </c>
      <c r="L16" s="212">
        <v>0</v>
      </c>
      <c r="M16" s="601">
        <f t="shared" si="7"/>
        <v>1380</v>
      </c>
      <c r="R16" s="588"/>
      <c r="S16" s="373"/>
      <c r="T16" s="211"/>
      <c r="U16" s="211"/>
      <c r="V16" s="211"/>
      <c r="W16" s="597"/>
      <c r="X16" s="211"/>
      <c r="Y16" s="211"/>
      <c r="Z16" s="211"/>
      <c r="AA16" s="211"/>
      <c r="AB16" s="597"/>
      <c r="AC16" s="211"/>
      <c r="AD16" s="211"/>
      <c r="AE16" s="211"/>
      <c r="AF16" s="211"/>
      <c r="AG16" s="597"/>
      <c r="AH16" s="211"/>
      <c r="AI16" s="211"/>
      <c r="AJ16" s="211"/>
      <c r="AK16" s="211"/>
      <c r="AL16" s="597"/>
      <c r="AM16" s="211"/>
      <c r="AN16" s="211"/>
      <c r="AO16" s="211"/>
      <c r="AP16" s="211"/>
      <c r="AQ16" s="597"/>
      <c r="AR16" s="211"/>
      <c r="AS16" s="211"/>
      <c r="AT16" s="211"/>
      <c r="AU16" s="211"/>
      <c r="AV16" s="597"/>
      <c r="AW16" s="211"/>
      <c r="AX16" s="211"/>
      <c r="AY16" s="211"/>
      <c r="AZ16" s="211"/>
      <c r="BA16" s="597"/>
      <c r="BB16" s="596"/>
      <c r="BC16" s="596"/>
      <c r="BD16" s="596"/>
      <c r="BE16" s="596"/>
      <c r="BF16" s="597"/>
      <c r="BG16" s="211"/>
      <c r="BH16" s="211"/>
      <c r="BI16" s="211"/>
      <c r="BJ16" s="211"/>
      <c r="BK16" s="597"/>
      <c r="BL16" s="211"/>
      <c r="BM16" s="211"/>
      <c r="BN16" s="211"/>
      <c r="BO16" s="211"/>
      <c r="BP16" s="597"/>
      <c r="BQ16" s="211"/>
      <c r="BR16" s="211"/>
      <c r="BS16" s="211"/>
      <c r="BT16" s="211"/>
      <c r="BU16" s="597"/>
      <c r="BV16" s="211"/>
      <c r="BW16" s="211"/>
      <c r="BX16" s="211"/>
      <c r="BY16" s="211"/>
      <c r="BZ16" s="597"/>
      <c r="CA16" s="211"/>
      <c r="CB16" s="211"/>
      <c r="CC16" s="211"/>
      <c r="CD16" s="211"/>
      <c r="CE16" s="597"/>
      <c r="CF16" s="211"/>
      <c r="CG16" s="211"/>
      <c r="CH16" s="211"/>
      <c r="CI16" s="211"/>
      <c r="CJ16" s="597"/>
    </row>
    <row r="17" spans="1:88" ht="20.100000000000001" customHeight="1" x14ac:dyDescent="0.25">
      <c r="A17" s="210">
        <v>44103</v>
      </c>
      <c r="B17" s="788">
        <f t="shared" si="1"/>
        <v>1097</v>
      </c>
      <c r="C17" s="544">
        <f>H17+N17</f>
        <v>178</v>
      </c>
      <c r="D17" s="545">
        <f>I17+O17</f>
        <v>253</v>
      </c>
      <c r="E17" s="545">
        <f t="shared" ref="E17:F17" si="8">J17+P17</f>
        <v>658</v>
      </c>
      <c r="F17" s="545">
        <f t="shared" si="8"/>
        <v>7</v>
      </c>
      <c r="G17" s="546">
        <f>L17</f>
        <v>1</v>
      </c>
      <c r="H17" s="540">
        <f>50+126</f>
        <v>176</v>
      </c>
      <c r="I17" s="72">
        <f>60+191</f>
        <v>251</v>
      </c>
      <c r="J17" s="72">
        <f>211+426</f>
        <v>637</v>
      </c>
      <c r="K17" s="72">
        <f>3+4</f>
        <v>7</v>
      </c>
      <c r="L17" s="72">
        <v>1</v>
      </c>
      <c r="M17" s="601">
        <f t="shared" ref="M17:M32" si="9">SUM(H17:L17)</f>
        <v>1072</v>
      </c>
      <c r="N17" s="526">
        <v>2</v>
      </c>
      <c r="O17" s="526">
        <v>2</v>
      </c>
      <c r="P17" s="526">
        <v>21</v>
      </c>
      <c r="Q17" s="526">
        <v>0</v>
      </c>
      <c r="R17" s="586">
        <f>SUM(N17:Q17)</f>
        <v>25</v>
      </c>
      <c r="S17" s="373"/>
      <c r="T17" s="211"/>
      <c r="U17" s="435"/>
      <c r="V17" s="211"/>
      <c r="W17" s="531"/>
      <c r="X17" s="211"/>
      <c r="Y17" s="211"/>
      <c r="Z17" s="211"/>
      <c r="AA17" s="211"/>
      <c r="AB17" s="531"/>
      <c r="AC17" s="211"/>
      <c r="AD17" s="211"/>
      <c r="AE17" s="211"/>
      <c r="AF17" s="211"/>
      <c r="AG17" s="531"/>
      <c r="AH17" s="211"/>
      <c r="AI17" s="211"/>
      <c r="AJ17" s="211"/>
      <c r="AK17" s="211"/>
      <c r="AL17" s="531"/>
      <c r="AM17" s="211"/>
      <c r="AN17" s="211"/>
      <c r="AO17" s="211"/>
      <c r="AP17" s="211"/>
      <c r="AQ17" s="531"/>
      <c r="AR17" s="211"/>
      <c r="AS17" s="211"/>
      <c r="AT17" s="211"/>
      <c r="AU17" s="211"/>
      <c r="AV17" s="531"/>
      <c r="AW17" s="211"/>
      <c r="AX17" s="211"/>
      <c r="AY17" s="211"/>
      <c r="AZ17" s="211"/>
      <c r="BA17" s="531"/>
      <c r="BB17" s="530"/>
      <c r="BC17" s="530"/>
      <c r="BD17" s="530"/>
      <c r="BE17" s="530"/>
      <c r="BF17" s="531"/>
      <c r="BG17" s="211"/>
      <c r="BH17" s="211"/>
      <c r="BI17" s="211"/>
      <c r="BJ17" s="211"/>
      <c r="BK17" s="531"/>
      <c r="BL17" s="211"/>
      <c r="BM17" s="211"/>
      <c r="BN17" s="211"/>
      <c r="BO17" s="211"/>
      <c r="BP17" s="531"/>
      <c r="BQ17" s="211"/>
      <c r="BR17" s="211"/>
      <c r="BS17" s="211"/>
      <c r="BT17" s="211"/>
      <c r="BU17" s="531"/>
      <c r="BV17" s="211"/>
      <c r="BW17" s="211"/>
      <c r="BX17" s="211"/>
      <c r="BY17" s="211"/>
      <c r="BZ17" s="531"/>
      <c r="CA17" s="211"/>
      <c r="CB17" s="211"/>
      <c r="CC17" s="211"/>
      <c r="CD17" s="211"/>
      <c r="CE17" s="531"/>
      <c r="CF17" s="211"/>
      <c r="CG17" s="211"/>
      <c r="CH17" s="211"/>
      <c r="CI17" s="211"/>
      <c r="CJ17" s="531"/>
    </row>
    <row r="18" spans="1:88" ht="20.100000000000001" customHeight="1" x14ac:dyDescent="0.25">
      <c r="A18" s="210">
        <v>44104</v>
      </c>
      <c r="B18" s="788">
        <f t="shared" si="1"/>
        <v>1177</v>
      </c>
      <c r="C18" s="544">
        <f>H18+N18</f>
        <v>167</v>
      </c>
      <c r="D18" s="545">
        <f>I18+O18</f>
        <v>257</v>
      </c>
      <c r="E18" s="545">
        <f>J18+P18</f>
        <v>734</v>
      </c>
      <c r="F18" s="545">
        <f>K18+Q18</f>
        <v>17</v>
      </c>
      <c r="G18" s="546">
        <f>L18</f>
        <v>2</v>
      </c>
      <c r="H18" s="213">
        <f>47+116</f>
        <v>163</v>
      </c>
      <c r="I18" s="212">
        <f>103+152</f>
        <v>255</v>
      </c>
      <c r="J18" s="212">
        <f>244+473</f>
        <v>717</v>
      </c>
      <c r="K18" s="212">
        <f>3+14</f>
        <v>17</v>
      </c>
      <c r="L18" s="212">
        <v>2</v>
      </c>
      <c r="M18" s="601">
        <f t="shared" si="9"/>
        <v>1154</v>
      </c>
      <c r="N18" s="526">
        <v>4</v>
      </c>
      <c r="O18" s="526">
        <v>2</v>
      </c>
      <c r="P18" s="526">
        <v>17</v>
      </c>
      <c r="Q18" s="526">
        <v>0</v>
      </c>
      <c r="R18" s="586">
        <f>SUM(N18:Q18)</f>
        <v>23</v>
      </c>
      <c r="S18" s="373"/>
      <c r="T18" s="211"/>
      <c r="U18" s="211"/>
      <c r="V18" s="211"/>
      <c r="W18" s="531"/>
      <c r="X18" s="211"/>
      <c r="Y18" s="211"/>
      <c r="Z18" s="211"/>
      <c r="AA18" s="211"/>
      <c r="AB18" s="531"/>
      <c r="AC18" s="211"/>
      <c r="AD18" s="211"/>
      <c r="AE18" s="211"/>
      <c r="AF18" s="211"/>
      <c r="AG18" s="531"/>
      <c r="AH18" s="211"/>
      <c r="AI18" s="211"/>
      <c r="AJ18" s="211"/>
      <c r="AK18" s="211"/>
      <c r="AL18" s="531"/>
      <c r="AM18" s="211"/>
      <c r="AN18" s="211"/>
      <c r="AO18" s="211"/>
      <c r="AP18" s="211"/>
      <c r="AQ18" s="531"/>
      <c r="AR18" s="211"/>
      <c r="AS18" s="211"/>
      <c r="AT18" s="211"/>
      <c r="AU18" s="211"/>
      <c r="AV18" s="531"/>
      <c r="AW18" s="211"/>
      <c r="AX18" s="211"/>
      <c r="AY18" s="211"/>
      <c r="AZ18" s="211"/>
      <c r="BA18" s="531"/>
      <c r="BB18" s="530"/>
      <c r="BC18" s="530"/>
      <c r="BD18" s="530"/>
      <c r="BE18" s="530"/>
      <c r="BF18" s="531"/>
      <c r="BG18" s="211"/>
      <c r="BH18" s="211"/>
      <c r="BI18" s="211"/>
      <c r="BJ18" s="211"/>
      <c r="BK18" s="531"/>
      <c r="BL18" s="211"/>
      <c r="BM18" s="211"/>
      <c r="BN18" s="211"/>
      <c r="BO18" s="211"/>
      <c r="BP18" s="531"/>
      <c r="BQ18" s="211"/>
      <c r="BR18" s="211"/>
      <c r="BS18" s="211"/>
      <c r="BT18" s="211"/>
      <c r="BU18" s="531"/>
      <c r="BV18" s="211"/>
      <c r="BW18" s="211"/>
      <c r="BX18" s="211"/>
      <c r="BY18" s="211"/>
      <c r="BZ18" s="531"/>
      <c r="CA18" s="211"/>
      <c r="CB18" s="211"/>
      <c r="CC18" s="211"/>
      <c r="CD18" s="211"/>
      <c r="CE18" s="531"/>
      <c r="CF18" s="211"/>
      <c r="CG18" s="211"/>
      <c r="CH18" s="211"/>
      <c r="CI18" s="211"/>
      <c r="CJ18" s="531"/>
    </row>
    <row r="19" spans="1:88" ht="20.100000000000001" customHeight="1" x14ac:dyDescent="0.25">
      <c r="A19" s="210">
        <v>44105</v>
      </c>
      <c r="B19" s="788">
        <f t="shared" si="1"/>
        <v>1072</v>
      </c>
      <c r="C19" s="544">
        <f>H19</f>
        <v>191</v>
      </c>
      <c r="D19" s="545">
        <f t="shared" si="2"/>
        <v>244</v>
      </c>
      <c r="E19" s="545">
        <f t="shared" si="3"/>
        <v>626</v>
      </c>
      <c r="F19" s="545">
        <f>K19</f>
        <v>8</v>
      </c>
      <c r="G19" s="546">
        <f t="shared" ref="G19:G20" si="10">L19+Q19</f>
        <v>3</v>
      </c>
      <c r="H19" s="213">
        <f>55+136</f>
        <v>191</v>
      </c>
      <c r="I19" s="212">
        <f>89+155</f>
        <v>244</v>
      </c>
      <c r="J19" s="212">
        <f>203+423</f>
        <v>626</v>
      </c>
      <c r="K19" s="212">
        <f>5+3</f>
        <v>8</v>
      </c>
      <c r="L19" s="212">
        <v>3</v>
      </c>
      <c r="M19" s="601">
        <f t="shared" si="9"/>
        <v>1072</v>
      </c>
      <c r="N19" s="526"/>
      <c r="O19" s="526"/>
      <c r="P19" s="526"/>
      <c r="Q19" s="526"/>
      <c r="R19" s="586">
        <f>SUM(N19:Q19)</f>
        <v>0</v>
      </c>
      <c r="S19" s="373"/>
      <c r="T19" s="211"/>
      <c r="U19" s="211"/>
      <c r="V19" s="211"/>
      <c r="W19" s="531"/>
      <c r="X19" s="211"/>
      <c r="Y19" s="211"/>
      <c r="Z19" s="211"/>
      <c r="AA19" s="211"/>
      <c r="AB19" s="531"/>
      <c r="AC19" s="211"/>
      <c r="AD19" s="211"/>
      <c r="AE19" s="211"/>
      <c r="AF19" s="211"/>
      <c r="AG19" s="531"/>
      <c r="AH19" s="211"/>
      <c r="AI19" s="211"/>
      <c r="AJ19" s="211"/>
      <c r="AK19" s="211"/>
      <c r="AL19" s="531"/>
      <c r="AM19" s="211"/>
      <c r="AN19" s="211"/>
      <c r="AO19" s="211"/>
      <c r="AP19" s="211"/>
      <c r="AQ19" s="531"/>
      <c r="AR19" s="211"/>
      <c r="AS19" s="211"/>
      <c r="AT19" s="211"/>
      <c r="AU19" s="211"/>
      <c r="AV19" s="531"/>
      <c r="AW19" s="211"/>
      <c r="AX19" s="211"/>
      <c r="AY19" s="211"/>
      <c r="AZ19" s="211"/>
      <c r="BA19" s="531"/>
      <c r="BB19" s="530"/>
      <c r="BC19" s="530"/>
      <c r="BD19" s="530"/>
      <c r="BE19" s="530"/>
      <c r="BF19" s="531"/>
      <c r="BG19" s="211"/>
      <c r="BH19" s="211"/>
      <c r="BI19" s="211"/>
      <c r="BJ19" s="211"/>
      <c r="BK19" s="531"/>
      <c r="BL19" s="211"/>
      <c r="BM19" s="211"/>
      <c r="BN19" s="211"/>
      <c r="BO19" s="211"/>
      <c r="BP19" s="531"/>
      <c r="BQ19" s="211"/>
      <c r="BR19" s="211"/>
      <c r="BS19" s="211"/>
      <c r="BT19" s="211"/>
      <c r="BU19" s="531"/>
      <c r="BV19" s="211"/>
      <c r="BW19" s="211"/>
      <c r="BX19" s="211"/>
      <c r="BY19" s="211"/>
      <c r="BZ19" s="531"/>
      <c r="CA19" s="211"/>
      <c r="CB19" s="211"/>
      <c r="CC19" s="211"/>
      <c r="CD19" s="211"/>
      <c r="CE19" s="531"/>
      <c r="CF19" s="211"/>
      <c r="CG19" s="211"/>
      <c r="CH19" s="211"/>
      <c r="CI19" s="211"/>
      <c r="CJ19" s="531"/>
    </row>
    <row r="20" spans="1:88" ht="20.100000000000001" customHeight="1" x14ac:dyDescent="0.25">
      <c r="A20" s="210">
        <v>44106</v>
      </c>
      <c r="B20" s="788">
        <f t="shared" si="1"/>
        <v>1406</v>
      </c>
      <c r="C20" s="544">
        <f t="shared" ref="C20" si="11">H20</f>
        <v>231</v>
      </c>
      <c r="D20" s="545">
        <f t="shared" si="2"/>
        <v>327</v>
      </c>
      <c r="E20" s="545">
        <f t="shared" si="3"/>
        <v>837</v>
      </c>
      <c r="F20" s="545">
        <f t="shared" si="4"/>
        <v>10</v>
      </c>
      <c r="G20" s="546">
        <f t="shared" si="10"/>
        <v>1</v>
      </c>
      <c r="H20" s="213">
        <f>82+149</f>
        <v>231</v>
      </c>
      <c r="I20" s="212">
        <f>116+211</f>
        <v>327</v>
      </c>
      <c r="J20" s="212">
        <f>276+561</f>
        <v>837</v>
      </c>
      <c r="K20" s="212">
        <f>4+6</f>
        <v>10</v>
      </c>
      <c r="L20" s="212">
        <v>1</v>
      </c>
      <c r="M20" s="601">
        <f t="shared" si="9"/>
        <v>1406</v>
      </c>
      <c r="N20" s="526"/>
      <c r="O20" s="526"/>
      <c r="P20" s="526"/>
      <c r="Q20" s="526"/>
      <c r="R20" s="586"/>
      <c r="S20" s="373"/>
      <c r="T20" s="211"/>
      <c r="U20" s="211"/>
      <c r="V20" s="211"/>
      <c r="W20" s="531"/>
      <c r="X20" s="211"/>
      <c r="Y20" s="211"/>
      <c r="Z20" s="211"/>
      <c r="AA20" s="211"/>
      <c r="AB20" s="531"/>
      <c r="AC20" s="211"/>
      <c r="AD20" s="211"/>
      <c r="AE20" s="211"/>
      <c r="AF20" s="211"/>
      <c r="AG20" s="531"/>
      <c r="AH20" s="211"/>
      <c r="AI20" s="211"/>
      <c r="AJ20" s="211"/>
      <c r="AK20" s="211"/>
      <c r="AL20" s="531"/>
      <c r="AM20" s="211"/>
      <c r="AN20" s="211"/>
      <c r="AO20" s="211"/>
      <c r="AP20" s="211"/>
      <c r="AQ20" s="531"/>
      <c r="AR20" s="211"/>
      <c r="AS20" s="211"/>
      <c r="AT20" s="211"/>
      <c r="AU20" s="211"/>
      <c r="AV20" s="531"/>
      <c r="AW20" s="211"/>
      <c r="AX20" s="211"/>
      <c r="AY20" s="211"/>
      <c r="AZ20" s="211"/>
      <c r="BA20" s="531"/>
      <c r="BB20" s="530"/>
      <c r="BC20" s="530"/>
      <c r="BD20" s="530"/>
      <c r="BE20" s="530"/>
      <c r="BF20" s="531"/>
      <c r="BG20" s="211"/>
      <c r="BH20" s="211"/>
      <c r="BI20" s="211"/>
      <c r="BJ20" s="211"/>
      <c r="BK20" s="531"/>
      <c r="BL20" s="211"/>
      <c r="BM20" s="211"/>
      <c r="BN20" s="211"/>
      <c r="BO20" s="211"/>
      <c r="BP20" s="531"/>
      <c r="BQ20" s="211"/>
      <c r="BR20" s="211"/>
      <c r="BS20" s="211"/>
      <c r="BT20" s="211"/>
      <c r="BU20" s="531"/>
      <c r="BV20" s="211"/>
      <c r="BW20" s="211"/>
      <c r="BX20" s="211"/>
      <c r="BY20" s="211"/>
      <c r="BZ20" s="531"/>
      <c r="CA20" s="211"/>
      <c r="CB20" s="211"/>
      <c r="CC20" s="211"/>
      <c r="CD20" s="211"/>
      <c r="CE20" s="531"/>
      <c r="CF20" s="211"/>
      <c r="CG20" s="211"/>
      <c r="CH20" s="211"/>
      <c r="CI20" s="211"/>
      <c r="CJ20" s="531"/>
    </row>
    <row r="21" spans="1:88" s="84" customFormat="1" ht="20.100000000000001" customHeight="1" x14ac:dyDescent="0.25">
      <c r="A21" s="363">
        <v>44107</v>
      </c>
      <c r="B21" s="788">
        <f t="shared" si="1"/>
        <v>380</v>
      </c>
      <c r="C21" s="544">
        <f t="shared" ref="C21" si="12">H21</f>
        <v>60</v>
      </c>
      <c r="D21" s="545">
        <f t="shared" ref="D21" si="13">I21</f>
        <v>53</v>
      </c>
      <c r="E21" s="545">
        <f t="shared" ref="E21" si="14">J21</f>
        <v>258</v>
      </c>
      <c r="F21" s="545">
        <f t="shared" ref="F21" si="15">K21</f>
        <v>9</v>
      </c>
      <c r="G21" s="546">
        <f t="shared" ref="G21" si="16">L21+Q21</f>
        <v>0</v>
      </c>
      <c r="H21" s="215">
        <f>41+19</f>
        <v>60</v>
      </c>
      <c r="I21" s="216">
        <f>22+31</f>
        <v>53</v>
      </c>
      <c r="J21" s="216">
        <f>177+81</f>
        <v>258</v>
      </c>
      <c r="K21" s="216">
        <f>5+4</f>
        <v>9</v>
      </c>
      <c r="L21" s="216">
        <v>0</v>
      </c>
      <c r="M21" s="601">
        <f t="shared" si="9"/>
        <v>380</v>
      </c>
      <c r="N21" s="534"/>
      <c r="O21" s="526"/>
      <c r="P21" s="526"/>
      <c r="Q21" s="526"/>
      <c r="R21" s="586"/>
      <c r="S21" s="373"/>
      <c r="T21" s="211"/>
      <c r="U21" s="211"/>
      <c r="V21" s="211"/>
      <c r="W21" s="531"/>
      <c r="X21" s="211"/>
      <c r="Y21" s="211"/>
      <c r="Z21" s="211"/>
      <c r="AA21" s="211"/>
      <c r="AB21" s="531"/>
      <c r="AC21" s="373"/>
      <c r="AD21" s="211"/>
      <c r="AE21" s="211"/>
      <c r="AF21" s="211"/>
      <c r="AG21" s="531"/>
      <c r="AH21" s="373"/>
      <c r="AI21" s="211"/>
      <c r="AJ21" s="211"/>
      <c r="AK21" s="211"/>
      <c r="AL21" s="531"/>
      <c r="AM21" s="373"/>
      <c r="AN21" s="211"/>
      <c r="AO21" s="211"/>
      <c r="AP21" s="211"/>
      <c r="AQ21" s="531"/>
      <c r="AR21" s="373"/>
      <c r="AS21" s="211"/>
      <c r="AT21" s="211"/>
      <c r="AU21" s="211"/>
      <c r="AV21" s="531"/>
      <c r="AW21" s="373"/>
      <c r="AX21" s="211"/>
      <c r="AY21" s="211"/>
      <c r="AZ21" s="211"/>
      <c r="BA21" s="531"/>
      <c r="BB21" s="530"/>
      <c r="BC21" s="530"/>
      <c r="BD21" s="530"/>
      <c r="BE21" s="530"/>
      <c r="BF21" s="530"/>
      <c r="BG21" s="373"/>
      <c r="BH21" s="211"/>
      <c r="BI21" s="211"/>
      <c r="BJ21" s="211"/>
      <c r="BK21" s="531"/>
      <c r="BL21" s="373"/>
      <c r="BM21" s="211"/>
      <c r="BN21" s="211"/>
      <c r="BO21" s="211"/>
      <c r="BP21" s="531"/>
      <c r="BQ21" s="373"/>
      <c r="BR21" s="211"/>
      <c r="BS21" s="211"/>
      <c r="BT21" s="211"/>
      <c r="BU21" s="531"/>
      <c r="BV21" s="373"/>
      <c r="BW21" s="211"/>
      <c r="BX21" s="211"/>
      <c r="BY21" s="211"/>
      <c r="BZ21" s="531"/>
      <c r="CA21" s="373"/>
      <c r="CB21" s="211"/>
      <c r="CC21" s="211"/>
      <c r="CD21" s="211"/>
      <c r="CE21" s="531"/>
      <c r="CF21" s="373"/>
      <c r="CG21" s="211"/>
      <c r="CH21" s="211"/>
      <c r="CI21" s="211"/>
      <c r="CJ21" s="531"/>
    </row>
    <row r="22" spans="1:88" s="84" customFormat="1" ht="20.100000000000001" customHeight="1" x14ac:dyDescent="0.25">
      <c r="A22" s="363">
        <v>44108</v>
      </c>
      <c r="B22" s="788">
        <f t="shared" si="1"/>
        <v>388</v>
      </c>
      <c r="C22" s="544">
        <f t="shared" ref="C22" si="17">H22</f>
        <v>67</v>
      </c>
      <c r="D22" s="545">
        <f t="shared" ref="D22" si="18">I22</f>
        <v>73</v>
      </c>
      <c r="E22" s="545">
        <f t="shared" ref="E22" si="19">J22</f>
        <v>243</v>
      </c>
      <c r="F22" s="545">
        <f t="shared" ref="F22" si="20">K22</f>
        <v>5</v>
      </c>
      <c r="G22" s="546">
        <f t="shared" ref="G22" si="21">L22+Q22</f>
        <v>0</v>
      </c>
      <c r="H22" s="215">
        <v>67</v>
      </c>
      <c r="I22" s="216">
        <v>73</v>
      </c>
      <c r="J22" s="216">
        <v>243</v>
      </c>
      <c r="K22" s="216">
        <v>5</v>
      </c>
      <c r="L22" s="216">
        <v>0</v>
      </c>
      <c r="M22" s="601">
        <f t="shared" si="9"/>
        <v>388</v>
      </c>
      <c r="N22" s="534"/>
      <c r="O22" s="526"/>
      <c r="P22" s="526"/>
      <c r="Q22" s="526"/>
      <c r="R22" s="586"/>
      <c r="S22" s="373"/>
      <c r="T22" s="211"/>
      <c r="U22" s="211"/>
      <c r="V22" s="211"/>
      <c r="W22" s="531"/>
      <c r="X22" s="211"/>
      <c r="Y22" s="211"/>
      <c r="Z22" s="211"/>
      <c r="AA22" s="211"/>
      <c r="AB22" s="531"/>
      <c r="AC22" s="373"/>
      <c r="AD22" s="211"/>
      <c r="AE22" s="211"/>
      <c r="AF22" s="211"/>
      <c r="AG22" s="531"/>
      <c r="AH22" s="373"/>
      <c r="AI22" s="211"/>
      <c r="AJ22" s="211"/>
      <c r="AK22" s="211"/>
      <c r="AL22" s="531"/>
      <c r="AM22" s="373"/>
      <c r="AN22" s="211"/>
      <c r="AO22" s="211"/>
      <c r="AP22" s="211"/>
      <c r="AQ22" s="531"/>
      <c r="AR22" s="373"/>
      <c r="AS22" s="211"/>
      <c r="AT22" s="211"/>
      <c r="AU22" s="211"/>
      <c r="AV22" s="531"/>
      <c r="AW22" s="373"/>
      <c r="AX22" s="211"/>
      <c r="AY22" s="211"/>
      <c r="AZ22" s="211"/>
      <c r="BA22" s="531"/>
      <c r="BB22" s="530"/>
      <c r="BC22" s="530"/>
      <c r="BD22" s="530"/>
      <c r="BE22" s="530"/>
      <c r="BF22" s="530"/>
      <c r="BG22" s="373"/>
      <c r="BH22" s="211"/>
      <c r="BI22" s="211"/>
      <c r="BJ22" s="211"/>
      <c r="BK22" s="531"/>
      <c r="BL22" s="373"/>
      <c r="BM22" s="211"/>
      <c r="BN22" s="211"/>
      <c r="BO22" s="211"/>
      <c r="BP22" s="531"/>
      <c r="BQ22" s="373"/>
      <c r="BR22" s="211"/>
      <c r="BS22" s="211"/>
      <c r="BT22" s="211"/>
      <c r="BU22" s="531"/>
      <c r="BV22" s="373"/>
      <c r="BW22" s="211"/>
      <c r="BX22" s="211"/>
      <c r="BY22" s="211"/>
      <c r="BZ22" s="531"/>
      <c r="CA22" s="373"/>
      <c r="CB22" s="211"/>
      <c r="CC22" s="211"/>
      <c r="CD22" s="211"/>
      <c r="CE22" s="531"/>
      <c r="CF22" s="373"/>
      <c r="CG22" s="211"/>
      <c r="CH22" s="211"/>
      <c r="CI22" s="211"/>
      <c r="CJ22" s="531"/>
    </row>
    <row r="23" spans="1:88" s="84" customFormat="1" ht="20.100000000000001" customHeight="1" x14ac:dyDescent="0.25">
      <c r="A23" s="363">
        <v>44109</v>
      </c>
      <c r="B23" s="788">
        <f t="shared" si="1"/>
        <v>1137</v>
      </c>
      <c r="C23" s="544">
        <f>H23+N23</f>
        <v>204</v>
      </c>
      <c r="D23" s="545">
        <f>I23+O23</f>
        <v>319</v>
      </c>
      <c r="E23" s="545">
        <f>J23+P23</f>
        <v>604</v>
      </c>
      <c r="F23" s="545">
        <f>K23+Q23</f>
        <v>9</v>
      </c>
      <c r="G23" s="546">
        <f t="shared" ref="G23" si="22">L23+Q23</f>
        <v>1</v>
      </c>
      <c r="H23" s="215">
        <v>194</v>
      </c>
      <c r="I23" s="216">
        <v>313</v>
      </c>
      <c r="J23" s="216">
        <v>602</v>
      </c>
      <c r="K23" s="216">
        <v>9</v>
      </c>
      <c r="L23" s="216">
        <v>1</v>
      </c>
      <c r="M23" s="601">
        <f t="shared" si="9"/>
        <v>1119</v>
      </c>
      <c r="N23" s="534">
        <v>10</v>
      </c>
      <c r="O23" s="526">
        <v>6</v>
      </c>
      <c r="P23" s="526">
        <v>2</v>
      </c>
      <c r="Q23" s="526">
        <v>0</v>
      </c>
      <c r="R23" s="586">
        <f>SUM(N23:Q23)</f>
        <v>18</v>
      </c>
      <c r="S23" s="373"/>
      <c r="T23" s="211"/>
      <c r="U23" s="211"/>
      <c r="V23" s="211"/>
      <c r="W23" s="531"/>
      <c r="X23" s="211"/>
      <c r="Y23" s="211"/>
      <c r="Z23" s="211"/>
      <c r="AA23" s="211"/>
      <c r="AB23" s="531"/>
      <c r="AC23" s="373"/>
      <c r="AD23" s="211"/>
      <c r="AE23" s="211"/>
      <c r="AF23" s="211"/>
      <c r="AG23" s="531"/>
      <c r="AH23" s="373"/>
      <c r="AI23" s="211"/>
      <c r="AJ23" s="211"/>
      <c r="AK23" s="211"/>
      <c r="AL23" s="531"/>
      <c r="AM23" s="373"/>
      <c r="AN23" s="211"/>
      <c r="AO23" s="211"/>
      <c r="AP23" s="211"/>
      <c r="AQ23" s="531"/>
      <c r="AR23" s="373"/>
      <c r="AS23" s="211"/>
      <c r="AT23" s="211"/>
      <c r="AU23" s="211"/>
      <c r="AV23" s="531"/>
      <c r="AW23" s="373"/>
      <c r="AX23" s="211"/>
      <c r="AY23" s="211"/>
      <c r="AZ23" s="211"/>
      <c r="BA23" s="531"/>
      <c r="BB23" s="530"/>
      <c r="BC23" s="530"/>
      <c r="BD23" s="530"/>
      <c r="BE23" s="530"/>
      <c r="BF23" s="530"/>
      <c r="BG23" s="373"/>
      <c r="BH23" s="211"/>
      <c r="BI23" s="211"/>
      <c r="BJ23" s="211"/>
      <c r="BK23" s="531"/>
      <c r="BL23" s="373"/>
      <c r="BM23" s="211"/>
      <c r="BN23" s="211"/>
      <c r="BO23" s="211"/>
      <c r="BP23" s="531"/>
      <c r="BQ23" s="373"/>
      <c r="BR23" s="211"/>
      <c r="BS23" s="211"/>
      <c r="BT23" s="211"/>
      <c r="BU23" s="531"/>
      <c r="BV23" s="373"/>
      <c r="BW23" s="211"/>
      <c r="BX23" s="211"/>
      <c r="BY23" s="211"/>
      <c r="BZ23" s="531"/>
      <c r="CA23" s="373"/>
      <c r="CB23" s="211"/>
      <c r="CC23" s="211"/>
      <c r="CD23" s="211"/>
      <c r="CE23" s="531"/>
      <c r="CF23" s="373"/>
      <c r="CG23" s="211"/>
      <c r="CH23" s="211"/>
      <c r="CI23" s="211"/>
      <c r="CJ23" s="531"/>
    </row>
    <row r="24" spans="1:88" ht="20.100000000000001" customHeight="1" x14ac:dyDescent="0.25">
      <c r="A24" s="210">
        <v>44110</v>
      </c>
      <c r="B24" s="788">
        <f t="shared" si="1"/>
        <v>1513</v>
      </c>
      <c r="C24" s="544">
        <f>H24</f>
        <v>205</v>
      </c>
      <c r="D24" s="545">
        <f t="shared" si="2"/>
        <v>364</v>
      </c>
      <c r="E24" s="545">
        <f t="shared" si="3"/>
        <v>934</v>
      </c>
      <c r="F24" s="545">
        <f>K24+P24</f>
        <v>8</v>
      </c>
      <c r="G24" s="546">
        <f t="shared" si="5"/>
        <v>2</v>
      </c>
      <c r="H24" s="213">
        <f>3+98+104</f>
        <v>205</v>
      </c>
      <c r="I24" s="212">
        <f>73+130+161</f>
        <v>364</v>
      </c>
      <c r="J24" s="212">
        <f>202+376+356</f>
        <v>934</v>
      </c>
      <c r="K24" s="212">
        <f>5+3</f>
        <v>8</v>
      </c>
      <c r="L24" s="212">
        <v>2</v>
      </c>
      <c r="M24" s="601">
        <f t="shared" si="9"/>
        <v>1513</v>
      </c>
      <c r="N24" s="534"/>
      <c r="O24" s="526"/>
      <c r="P24" s="526"/>
      <c r="Q24" s="526"/>
      <c r="R24" s="586"/>
      <c r="S24" s="373"/>
      <c r="T24" s="211"/>
      <c r="U24" s="211"/>
      <c r="V24" s="211"/>
      <c r="W24" s="531"/>
      <c r="X24" s="211"/>
      <c r="Y24" s="211"/>
      <c r="Z24" s="211"/>
      <c r="AA24" s="211"/>
      <c r="AB24" s="531"/>
      <c r="AC24" s="373"/>
      <c r="AD24" s="211"/>
      <c r="AE24" s="211"/>
      <c r="AF24" s="211"/>
      <c r="AG24" s="531"/>
      <c r="AH24" s="373"/>
      <c r="AI24" s="211"/>
      <c r="AJ24" s="211"/>
      <c r="AK24" s="211"/>
      <c r="AL24" s="531"/>
      <c r="AM24" s="373"/>
      <c r="AN24" s="211"/>
      <c r="AO24" s="211"/>
      <c r="AP24" s="211"/>
      <c r="AQ24" s="531"/>
      <c r="AR24" s="373"/>
      <c r="AS24" s="211"/>
      <c r="AT24" s="211"/>
      <c r="AU24" s="211"/>
      <c r="AV24" s="531"/>
      <c r="AW24" s="373"/>
      <c r="AX24" s="211"/>
      <c r="AY24" s="211"/>
      <c r="AZ24" s="211"/>
      <c r="BA24" s="531"/>
      <c r="BB24" s="530"/>
      <c r="BC24" s="530"/>
      <c r="BD24" s="530"/>
      <c r="BE24" s="530"/>
      <c r="BF24" s="530"/>
      <c r="BG24" s="373"/>
      <c r="BH24" s="211"/>
      <c r="BI24" s="211"/>
      <c r="BJ24" s="211"/>
      <c r="BK24" s="531"/>
      <c r="BL24" s="373"/>
      <c r="BM24" s="211"/>
      <c r="BN24" s="211"/>
      <c r="BO24" s="211"/>
      <c r="BP24" s="531"/>
      <c r="BQ24" s="373"/>
      <c r="BR24" s="211"/>
      <c r="BS24" s="211"/>
      <c r="BT24" s="211"/>
      <c r="BU24" s="531"/>
      <c r="BV24" s="373"/>
      <c r="BW24" s="211"/>
      <c r="BX24" s="211"/>
      <c r="BY24" s="211"/>
      <c r="BZ24" s="531"/>
      <c r="CA24" s="373"/>
      <c r="CB24" s="211"/>
      <c r="CC24" s="211"/>
      <c r="CD24" s="211"/>
      <c r="CE24" s="531"/>
      <c r="CF24" s="373"/>
      <c r="CG24" s="211"/>
      <c r="CH24" s="211"/>
      <c r="CI24" s="211"/>
      <c r="CJ24" s="531"/>
    </row>
    <row r="25" spans="1:88" ht="20.100000000000001" customHeight="1" x14ac:dyDescent="0.25">
      <c r="A25" s="210">
        <v>44111</v>
      </c>
      <c r="B25" s="788">
        <f t="shared" si="1"/>
        <v>1311</v>
      </c>
      <c r="C25" s="544">
        <f>H25+N25</f>
        <v>235</v>
      </c>
      <c r="D25" s="545">
        <f>I25+O25</f>
        <v>293</v>
      </c>
      <c r="E25" s="545">
        <f>J25+P25</f>
        <v>779</v>
      </c>
      <c r="F25" s="545">
        <f>K25+Q25</f>
        <v>4</v>
      </c>
      <c r="G25" s="546">
        <f t="shared" si="5"/>
        <v>0</v>
      </c>
      <c r="H25" s="213">
        <f>113+118</f>
        <v>231</v>
      </c>
      <c r="I25" s="212">
        <f>194+99</f>
        <v>293</v>
      </c>
      <c r="J25" s="212">
        <f>457+322</f>
        <v>779</v>
      </c>
      <c r="K25" s="212">
        <v>4</v>
      </c>
      <c r="L25" s="212">
        <v>0</v>
      </c>
      <c r="M25" s="601">
        <f t="shared" si="9"/>
        <v>1307</v>
      </c>
      <c r="N25" s="534">
        <v>4</v>
      </c>
      <c r="O25" s="526">
        <v>0</v>
      </c>
      <c r="P25" s="526">
        <v>0</v>
      </c>
      <c r="Q25" s="526">
        <v>0</v>
      </c>
      <c r="R25" s="586">
        <f>SUM(N25:Q25)</f>
        <v>4</v>
      </c>
      <c r="S25" s="373"/>
      <c r="T25" s="211"/>
      <c r="U25" s="211"/>
      <c r="V25" s="211"/>
      <c r="W25" s="531"/>
      <c r="X25" s="211"/>
      <c r="Y25" s="211"/>
      <c r="Z25" s="211"/>
      <c r="AA25" s="211"/>
      <c r="AB25" s="531"/>
      <c r="AC25" s="373"/>
      <c r="AD25" s="211"/>
      <c r="AE25" s="211"/>
      <c r="AF25" s="211"/>
      <c r="AG25" s="531"/>
      <c r="AH25" s="373"/>
      <c r="AI25" s="211"/>
      <c r="AJ25" s="211"/>
      <c r="AK25" s="211"/>
      <c r="AL25" s="531"/>
      <c r="AM25" s="373"/>
      <c r="AN25" s="211"/>
      <c r="AO25" s="211"/>
      <c r="AP25" s="211"/>
      <c r="AQ25" s="531"/>
      <c r="AR25" s="373"/>
      <c r="AS25" s="211"/>
      <c r="AT25" s="211"/>
      <c r="AU25" s="211"/>
      <c r="AV25" s="531"/>
      <c r="AW25" s="373"/>
      <c r="AX25" s="211"/>
      <c r="AY25" s="211"/>
      <c r="AZ25" s="211"/>
      <c r="BA25" s="531"/>
      <c r="BB25" s="530"/>
      <c r="BC25" s="530"/>
      <c r="BD25" s="530"/>
      <c r="BE25" s="530"/>
      <c r="BF25" s="530"/>
      <c r="BG25" s="373"/>
      <c r="BH25" s="211"/>
      <c r="BI25" s="211"/>
      <c r="BJ25" s="211"/>
      <c r="BK25" s="531"/>
      <c r="BL25" s="373"/>
      <c r="BM25" s="211"/>
      <c r="BN25" s="211"/>
      <c r="BO25" s="211"/>
      <c r="BP25" s="531"/>
      <c r="BQ25" s="373"/>
      <c r="BR25" s="211"/>
      <c r="BS25" s="211"/>
      <c r="BT25" s="211"/>
      <c r="BU25" s="531"/>
      <c r="BV25" s="373"/>
      <c r="BW25" s="211"/>
      <c r="BX25" s="211"/>
      <c r="BY25" s="211"/>
      <c r="BZ25" s="531"/>
      <c r="CA25" s="373"/>
      <c r="CB25" s="211"/>
      <c r="CC25" s="211"/>
      <c r="CD25" s="211"/>
      <c r="CE25" s="531"/>
      <c r="CF25" s="373"/>
      <c r="CG25" s="211"/>
      <c r="CH25" s="211"/>
      <c r="CI25" s="211"/>
      <c r="CJ25" s="531"/>
    </row>
    <row r="26" spans="1:88" ht="20.100000000000001" customHeight="1" x14ac:dyDescent="0.25">
      <c r="A26" s="210">
        <v>44112</v>
      </c>
      <c r="B26" s="788">
        <f t="shared" si="1"/>
        <v>950</v>
      </c>
      <c r="C26" s="544">
        <f>H26</f>
        <v>151</v>
      </c>
      <c r="D26" s="545">
        <f t="shared" si="2"/>
        <v>223</v>
      </c>
      <c r="E26" s="545">
        <f t="shared" si="3"/>
        <v>572</v>
      </c>
      <c r="F26" s="545">
        <f t="shared" si="4"/>
        <v>4</v>
      </c>
      <c r="G26" s="546">
        <f t="shared" si="5"/>
        <v>0</v>
      </c>
      <c r="H26" s="213">
        <f>67+84</f>
        <v>151</v>
      </c>
      <c r="I26" s="212">
        <f>102+121</f>
        <v>223</v>
      </c>
      <c r="J26" s="212">
        <f>222+350</f>
        <v>572</v>
      </c>
      <c r="K26" s="212">
        <f>2+2</f>
        <v>4</v>
      </c>
      <c r="L26" s="212">
        <v>0</v>
      </c>
      <c r="M26" s="601">
        <f t="shared" si="9"/>
        <v>950</v>
      </c>
      <c r="N26" s="534"/>
      <c r="O26" s="526"/>
      <c r="P26" s="526"/>
      <c r="Q26" s="526"/>
      <c r="R26" s="586"/>
      <c r="S26" s="373"/>
      <c r="T26" s="211"/>
      <c r="U26" s="211"/>
      <c r="V26" s="211"/>
      <c r="W26" s="531"/>
      <c r="X26" s="211"/>
      <c r="Y26" s="211"/>
      <c r="Z26" s="211"/>
      <c r="AA26" s="211"/>
      <c r="AB26" s="531"/>
      <c r="AC26" s="373"/>
      <c r="AD26" s="211"/>
      <c r="AE26" s="211"/>
      <c r="AF26" s="211"/>
      <c r="AG26" s="531"/>
      <c r="AH26" s="373"/>
      <c r="AI26" s="211"/>
      <c r="AJ26" s="211"/>
      <c r="AK26" s="211"/>
      <c r="AL26" s="531"/>
      <c r="AM26" s="373"/>
      <c r="AN26" s="211"/>
      <c r="AO26" s="211"/>
      <c r="AP26" s="211"/>
      <c r="AQ26" s="531"/>
      <c r="AR26" s="373"/>
      <c r="AS26" s="211"/>
      <c r="AT26" s="211"/>
      <c r="AU26" s="211"/>
      <c r="AV26" s="531"/>
      <c r="AW26" s="373"/>
      <c r="AX26" s="211"/>
      <c r="AY26" s="211"/>
      <c r="AZ26" s="211"/>
      <c r="BA26" s="531"/>
      <c r="BB26" s="530"/>
      <c r="BC26" s="530"/>
      <c r="BD26" s="530"/>
      <c r="BE26" s="530"/>
      <c r="BF26" s="530"/>
      <c r="BG26" s="373"/>
      <c r="BH26" s="211"/>
      <c r="BI26" s="211"/>
      <c r="BJ26" s="211"/>
      <c r="BK26" s="531"/>
      <c r="BL26" s="373"/>
      <c r="BM26" s="211"/>
      <c r="BN26" s="211"/>
      <c r="BO26" s="211"/>
      <c r="BP26" s="531"/>
      <c r="BQ26" s="373"/>
      <c r="BR26" s="211"/>
      <c r="BS26" s="211"/>
      <c r="BT26" s="211"/>
      <c r="BU26" s="531"/>
      <c r="BV26" s="373"/>
      <c r="BW26" s="211"/>
      <c r="BX26" s="211"/>
      <c r="BY26" s="211"/>
      <c r="BZ26" s="531"/>
      <c r="CA26" s="373"/>
      <c r="CB26" s="211"/>
      <c r="CC26" s="211"/>
      <c r="CD26" s="211"/>
      <c r="CE26" s="531"/>
      <c r="CF26" s="373"/>
      <c r="CG26" s="211"/>
      <c r="CH26" s="211"/>
      <c r="CI26" s="211"/>
      <c r="CJ26" s="531"/>
    </row>
    <row r="27" spans="1:88" ht="20.100000000000001" customHeight="1" x14ac:dyDescent="0.25">
      <c r="A27" s="210">
        <v>44113</v>
      </c>
      <c r="B27" s="788">
        <f t="shared" si="1"/>
        <v>1271</v>
      </c>
      <c r="C27" s="544">
        <f>H27</f>
        <v>198</v>
      </c>
      <c r="D27" s="545">
        <f t="shared" ref="D27:F28" si="23">I27</f>
        <v>305</v>
      </c>
      <c r="E27" s="545">
        <f t="shared" si="23"/>
        <v>764</v>
      </c>
      <c r="F27" s="545">
        <f t="shared" si="23"/>
        <v>4</v>
      </c>
      <c r="G27" s="546">
        <f t="shared" si="5"/>
        <v>0</v>
      </c>
      <c r="H27" s="213">
        <f>94+104</f>
        <v>198</v>
      </c>
      <c r="I27" s="212">
        <f>152+153</f>
        <v>305</v>
      </c>
      <c r="J27" s="212">
        <f>288+476</f>
        <v>764</v>
      </c>
      <c r="K27" s="212">
        <v>4</v>
      </c>
      <c r="L27" s="212">
        <v>0</v>
      </c>
      <c r="M27" s="601">
        <f t="shared" si="9"/>
        <v>1271</v>
      </c>
      <c r="N27" s="534"/>
      <c r="O27" s="526"/>
      <c r="P27" s="526"/>
      <c r="Q27" s="526"/>
      <c r="R27" s="586"/>
      <c r="S27" s="373"/>
      <c r="T27" s="211"/>
      <c r="U27" s="211"/>
      <c r="V27" s="211"/>
      <c r="W27" s="531"/>
      <c r="X27" s="211"/>
      <c r="Y27" s="211"/>
      <c r="Z27" s="211"/>
      <c r="AA27" s="211"/>
      <c r="AB27" s="531"/>
      <c r="AC27" s="373"/>
      <c r="AD27" s="211"/>
      <c r="AE27" s="211"/>
      <c r="AF27" s="211"/>
      <c r="AG27" s="531"/>
      <c r="AH27" s="373"/>
      <c r="AI27" s="211"/>
      <c r="AJ27" s="211"/>
      <c r="AK27" s="211"/>
      <c r="AL27" s="531"/>
      <c r="AM27" s="373"/>
      <c r="AN27" s="211"/>
      <c r="AO27" s="211"/>
      <c r="AP27" s="211"/>
      <c r="AQ27" s="531"/>
      <c r="AR27" s="373"/>
      <c r="AS27" s="211"/>
      <c r="AT27" s="211"/>
      <c r="AU27" s="211"/>
      <c r="AV27" s="531"/>
      <c r="AW27" s="373"/>
      <c r="AX27" s="211"/>
      <c r="AY27" s="211"/>
      <c r="AZ27" s="211"/>
      <c r="BA27" s="531"/>
      <c r="BB27" s="530"/>
      <c r="BC27" s="530"/>
      <c r="BD27" s="530"/>
      <c r="BE27" s="530"/>
      <c r="BF27" s="530"/>
      <c r="BG27" s="373"/>
      <c r="BH27" s="211"/>
      <c r="BI27" s="211"/>
      <c r="BJ27" s="211"/>
      <c r="BK27" s="531"/>
      <c r="BL27" s="373"/>
      <c r="BM27" s="211"/>
      <c r="BN27" s="211"/>
      <c r="BO27" s="211"/>
      <c r="BP27" s="531"/>
      <c r="BQ27" s="373"/>
      <c r="BR27" s="211"/>
      <c r="BS27" s="211"/>
      <c r="BT27" s="211"/>
      <c r="BU27" s="531"/>
      <c r="BV27" s="373"/>
      <c r="BW27" s="211"/>
      <c r="BX27" s="211"/>
      <c r="BY27" s="211"/>
      <c r="BZ27" s="531"/>
      <c r="CA27" s="373"/>
      <c r="CB27" s="211"/>
      <c r="CC27" s="211"/>
      <c r="CD27" s="211"/>
      <c r="CE27" s="531"/>
      <c r="CF27" s="373"/>
      <c r="CG27" s="211"/>
      <c r="CH27" s="211"/>
      <c r="CI27" s="211"/>
      <c r="CJ27" s="531"/>
    </row>
    <row r="28" spans="1:88" s="84" customFormat="1" ht="20.100000000000001" customHeight="1" x14ac:dyDescent="0.25">
      <c r="A28" s="363">
        <v>44114</v>
      </c>
      <c r="B28" s="788">
        <f t="shared" si="1"/>
        <v>763</v>
      </c>
      <c r="C28" s="544">
        <f>H28</f>
        <v>132</v>
      </c>
      <c r="D28" s="545">
        <f t="shared" si="23"/>
        <v>186</v>
      </c>
      <c r="E28" s="545">
        <f t="shared" si="23"/>
        <v>440</v>
      </c>
      <c r="F28" s="545">
        <f t="shared" si="23"/>
        <v>5</v>
      </c>
      <c r="G28" s="546">
        <f t="shared" ref="G28" si="24">L28</f>
        <v>0</v>
      </c>
      <c r="H28" s="576">
        <v>132</v>
      </c>
      <c r="I28" s="577">
        <v>186</v>
      </c>
      <c r="J28" s="577">
        <v>440</v>
      </c>
      <c r="K28" s="577">
        <v>5</v>
      </c>
      <c r="L28" s="577">
        <v>0</v>
      </c>
      <c r="M28" s="601">
        <f t="shared" si="9"/>
        <v>763</v>
      </c>
      <c r="N28" s="534"/>
      <c r="O28" s="526"/>
      <c r="P28" s="526"/>
      <c r="Q28" s="526"/>
      <c r="R28" s="586"/>
      <c r="S28" s="373"/>
      <c r="T28" s="211"/>
      <c r="U28" s="211"/>
      <c r="V28" s="211"/>
      <c r="W28" s="531"/>
      <c r="X28" s="211"/>
      <c r="Y28" s="211"/>
      <c r="Z28" s="211"/>
      <c r="AA28" s="211"/>
      <c r="AB28" s="531"/>
      <c r="AC28" s="373"/>
      <c r="AD28" s="211"/>
      <c r="AE28" s="211"/>
      <c r="AF28" s="211"/>
      <c r="AG28" s="531"/>
      <c r="AH28" s="373"/>
      <c r="AI28" s="211"/>
      <c r="AJ28" s="211"/>
      <c r="AK28" s="211"/>
      <c r="AL28" s="531"/>
      <c r="AM28" s="373"/>
      <c r="AN28" s="211"/>
      <c r="AO28" s="211"/>
      <c r="AP28" s="211"/>
      <c r="AQ28" s="531"/>
      <c r="AR28" s="373"/>
      <c r="AS28" s="211"/>
      <c r="AT28" s="211"/>
      <c r="AU28" s="211"/>
      <c r="AV28" s="531"/>
      <c r="AW28" s="373"/>
      <c r="AX28" s="211"/>
      <c r="AY28" s="211"/>
      <c r="AZ28" s="211"/>
      <c r="BA28" s="531"/>
      <c r="BB28" s="530"/>
      <c r="BC28" s="530"/>
      <c r="BD28" s="530"/>
      <c r="BE28" s="530"/>
      <c r="BF28" s="530"/>
      <c r="BG28" s="373"/>
      <c r="BH28" s="211"/>
      <c r="BI28" s="211"/>
      <c r="BJ28" s="211"/>
      <c r="BK28" s="531"/>
      <c r="BL28" s="373"/>
      <c r="BM28" s="211"/>
      <c r="BN28" s="211"/>
      <c r="BO28" s="211"/>
      <c r="BP28" s="531"/>
      <c r="BQ28" s="373"/>
      <c r="BR28" s="211"/>
      <c r="BS28" s="211"/>
      <c r="BT28" s="211"/>
      <c r="BU28" s="531"/>
      <c r="BV28" s="373"/>
      <c r="BW28" s="211"/>
      <c r="BX28" s="211"/>
      <c r="BY28" s="211"/>
      <c r="BZ28" s="531"/>
      <c r="CA28" s="373"/>
      <c r="CB28" s="211"/>
      <c r="CC28" s="211"/>
      <c r="CD28" s="211"/>
      <c r="CE28" s="531"/>
      <c r="CF28" s="373"/>
      <c r="CG28" s="211"/>
      <c r="CH28" s="211"/>
      <c r="CI28" s="211"/>
      <c r="CJ28" s="531"/>
    </row>
    <row r="29" spans="1:88" ht="20.100000000000001" customHeight="1" x14ac:dyDescent="0.25">
      <c r="A29" s="352">
        <v>44115</v>
      </c>
      <c r="B29" s="789"/>
      <c r="C29" s="558"/>
      <c r="D29" s="559"/>
      <c r="E29" s="559"/>
      <c r="F29" s="559"/>
      <c r="G29" s="560"/>
      <c r="H29" s="214"/>
      <c r="I29" s="211"/>
      <c r="J29" s="211"/>
      <c r="K29" s="211"/>
      <c r="L29" s="211"/>
      <c r="M29" s="493"/>
      <c r="N29" s="524"/>
      <c r="O29" s="530"/>
      <c r="P29" s="530"/>
      <c r="Q29" s="530"/>
      <c r="R29" s="531"/>
      <c r="S29" s="373"/>
      <c r="T29" s="211"/>
      <c r="U29" s="211"/>
      <c r="V29" s="211"/>
      <c r="W29" s="531"/>
      <c r="X29" s="211"/>
      <c r="Y29" s="211"/>
      <c r="Z29" s="211"/>
      <c r="AA29" s="211"/>
      <c r="AB29" s="531"/>
      <c r="AC29" s="373"/>
      <c r="AD29" s="211"/>
      <c r="AE29" s="211"/>
      <c r="AF29" s="211"/>
      <c r="AG29" s="531"/>
      <c r="AH29" s="373"/>
      <c r="AI29" s="211"/>
      <c r="AJ29" s="211"/>
      <c r="AK29" s="211"/>
      <c r="AL29" s="531"/>
      <c r="AM29" s="373"/>
      <c r="AN29" s="211"/>
      <c r="AO29" s="211"/>
      <c r="AP29" s="211"/>
      <c r="AQ29" s="531"/>
      <c r="AR29" s="373"/>
      <c r="AS29" s="211"/>
      <c r="AT29" s="211"/>
      <c r="AU29" s="211"/>
      <c r="AV29" s="531"/>
      <c r="AW29" s="373"/>
      <c r="AX29" s="211"/>
      <c r="AY29" s="211"/>
      <c r="AZ29" s="211"/>
      <c r="BA29" s="531"/>
      <c r="BB29" s="530"/>
      <c r="BC29" s="530"/>
      <c r="BD29" s="530"/>
      <c r="BE29" s="530"/>
      <c r="BF29" s="530"/>
      <c r="BG29" s="373"/>
      <c r="BH29" s="211"/>
      <c r="BI29" s="211"/>
      <c r="BJ29" s="211"/>
      <c r="BK29" s="531"/>
      <c r="BL29" s="373"/>
      <c r="BM29" s="211"/>
      <c r="BN29" s="211"/>
      <c r="BO29" s="211"/>
      <c r="BP29" s="531"/>
      <c r="BQ29" s="373"/>
      <c r="BR29" s="211"/>
      <c r="BS29" s="211"/>
      <c r="BT29" s="211"/>
      <c r="BU29" s="531"/>
      <c r="BV29" s="373"/>
      <c r="BW29" s="211"/>
      <c r="BX29" s="211"/>
      <c r="BY29" s="211"/>
      <c r="BZ29" s="531"/>
      <c r="CA29" s="373"/>
      <c r="CB29" s="211"/>
      <c r="CC29" s="211"/>
      <c r="CD29" s="211"/>
      <c r="CE29" s="531"/>
      <c r="CF29" s="373"/>
      <c r="CG29" s="211"/>
      <c r="CH29" s="211"/>
      <c r="CI29" s="211"/>
      <c r="CJ29" s="531"/>
    </row>
    <row r="30" spans="1:88" s="84" customFormat="1" ht="20.100000000000001" customHeight="1" x14ac:dyDescent="0.25">
      <c r="A30" s="210">
        <v>44116</v>
      </c>
      <c r="B30" s="788">
        <f t="shared" si="1"/>
        <v>1443</v>
      </c>
      <c r="C30" s="544">
        <f>H30</f>
        <v>206</v>
      </c>
      <c r="D30" s="545">
        <f t="shared" si="2"/>
        <v>341</v>
      </c>
      <c r="E30" s="545">
        <f t="shared" si="3"/>
        <v>877</v>
      </c>
      <c r="F30" s="545">
        <f t="shared" si="4"/>
        <v>19</v>
      </c>
      <c r="G30" s="546">
        <f t="shared" si="5"/>
        <v>0</v>
      </c>
      <c r="H30" s="215">
        <v>206</v>
      </c>
      <c r="I30" s="216">
        <v>341</v>
      </c>
      <c r="J30" s="216">
        <v>877</v>
      </c>
      <c r="K30" s="216">
        <v>19</v>
      </c>
      <c r="L30" s="216">
        <v>0</v>
      </c>
      <c r="M30" s="601">
        <f t="shared" si="9"/>
        <v>1443</v>
      </c>
      <c r="N30" s="534"/>
      <c r="O30" s="526"/>
      <c r="P30" s="526"/>
      <c r="Q30" s="526"/>
      <c r="R30" s="586"/>
      <c r="S30" s="373"/>
      <c r="T30" s="211"/>
      <c r="U30" s="211"/>
      <c r="V30" s="211"/>
      <c r="W30" s="531"/>
      <c r="X30" s="211"/>
      <c r="Y30" s="211"/>
      <c r="Z30" s="211"/>
      <c r="AA30" s="211"/>
      <c r="AB30" s="531"/>
      <c r="AC30" s="373"/>
      <c r="AD30" s="211"/>
      <c r="AE30" s="211"/>
      <c r="AF30" s="211"/>
      <c r="AG30" s="531"/>
      <c r="AH30" s="373"/>
      <c r="AI30" s="211"/>
      <c r="AJ30" s="211"/>
      <c r="AK30" s="211"/>
      <c r="AL30" s="531"/>
      <c r="AM30" s="373"/>
      <c r="AN30" s="211"/>
      <c r="AO30" s="211"/>
      <c r="AP30" s="211"/>
      <c r="AQ30" s="531"/>
      <c r="AR30" s="373"/>
      <c r="AS30" s="211"/>
      <c r="AT30" s="211"/>
      <c r="AU30" s="211"/>
      <c r="AV30" s="531"/>
      <c r="AW30" s="373"/>
      <c r="AX30" s="211"/>
      <c r="AY30" s="211"/>
      <c r="AZ30" s="211"/>
      <c r="BA30" s="531"/>
      <c r="BB30" s="530"/>
      <c r="BC30" s="530"/>
      <c r="BD30" s="530"/>
      <c r="BE30" s="530"/>
      <c r="BF30" s="530"/>
      <c r="BG30" s="373"/>
      <c r="BH30" s="211"/>
      <c r="BI30" s="211"/>
      <c r="BJ30" s="211"/>
      <c r="BK30" s="531"/>
      <c r="BL30" s="373"/>
      <c r="BM30" s="211"/>
      <c r="BN30" s="211"/>
      <c r="BO30" s="211"/>
      <c r="BP30" s="531"/>
      <c r="BQ30" s="373"/>
      <c r="BR30" s="211"/>
      <c r="BS30" s="211"/>
      <c r="BT30" s="211"/>
      <c r="BU30" s="531"/>
      <c r="BV30" s="373"/>
      <c r="BW30" s="211"/>
      <c r="BX30" s="211"/>
      <c r="BY30" s="211"/>
      <c r="BZ30" s="531"/>
      <c r="CA30" s="373"/>
      <c r="CB30" s="211"/>
      <c r="CC30" s="211"/>
      <c r="CD30" s="211"/>
      <c r="CE30" s="531"/>
      <c r="CF30" s="373"/>
      <c r="CG30" s="211"/>
      <c r="CH30" s="211"/>
      <c r="CI30" s="211"/>
      <c r="CJ30" s="531"/>
    </row>
    <row r="31" spans="1:88" ht="20.100000000000001" customHeight="1" x14ac:dyDescent="0.25">
      <c r="A31" s="210">
        <v>44117</v>
      </c>
      <c r="B31" s="788">
        <f t="shared" si="1"/>
        <v>1581</v>
      </c>
      <c r="C31" s="544">
        <f>H31</f>
        <v>250</v>
      </c>
      <c r="D31" s="545">
        <f t="shared" si="2"/>
        <v>382</v>
      </c>
      <c r="E31" s="545">
        <f t="shared" si="3"/>
        <v>942</v>
      </c>
      <c r="F31" s="545">
        <f t="shared" si="4"/>
        <v>7</v>
      </c>
      <c r="G31" s="546">
        <f t="shared" si="5"/>
        <v>0</v>
      </c>
      <c r="H31" s="213">
        <f>17+104+82+47</f>
        <v>250</v>
      </c>
      <c r="I31" s="212">
        <f>49+92+138+103</f>
        <v>382</v>
      </c>
      <c r="J31" s="212">
        <f>84+278+336+244</f>
        <v>942</v>
      </c>
      <c r="K31" s="212">
        <f>2+0+5+0</f>
        <v>7</v>
      </c>
      <c r="L31" s="212">
        <v>0</v>
      </c>
      <c r="M31" s="601">
        <f t="shared" si="9"/>
        <v>1581</v>
      </c>
      <c r="N31" s="534"/>
      <c r="O31" s="526"/>
      <c r="P31" s="526"/>
      <c r="Q31" s="526"/>
      <c r="R31" s="586"/>
      <c r="S31" s="373"/>
      <c r="T31" s="211"/>
      <c r="U31" s="211"/>
      <c r="V31" s="211"/>
      <c r="W31" s="531"/>
      <c r="X31" s="211"/>
      <c r="Y31" s="211"/>
      <c r="Z31" s="211"/>
      <c r="AA31" s="211"/>
      <c r="AB31" s="531"/>
      <c r="AC31" s="373"/>
      <c r="AD31" s="211"/>
      <c r="AE31" s="211"/>
      <c r="AF31" s="211"/>
      <c r="AG31" s="531"/>
      <c r="AH31" s="373"/>
      <c r="AI31" s="211"/>
      <c r="AJ31" s="211"/>
      <c r="AK31" s="211"/>
      <c r="AL31" s="531"/>
      <c r="AM31" s="373"/>
      <c r="AN31" s="211"/>
      <c r="AO31" s="211"/>
      <c r="AP31" s="211"/>
      <c r="AQ31" s="531"/>
      <c r="AR31" s="373"/>
      <c r="AS31" s="211"/>
      <c r="AT31" s="211"/>
      <c r="AU31" s="211"/>
      <c r="AV31" s="531"/>
      <c r="AW31" s="373"/>
      <c r="AX31" s="211"/>
      <c r="AY31" s="211"/>
      <c r="AZ31" s="211"/>
      <c r="BA31" s="531"/>
      <c r="BB31" s="530"/>
      <c r="BC31" s="530"/>
      <c r="BD31" s="530"/>
      <c r="BE31" s="530"/>
      <c r="BF31" s="530"/>
      <c r="BG31" s="373"/>
      <c r="BH31" s="211"/>
      <c r="BI31" s="211"/>
      <c r="BJ31" s="211"/>
      <c r="BK31" s="531"/>
      <c r="BL31" s="373"/>
      <c r="BM31" s="211"/>
      <c r="BN31" s="211"/>
      <c r="BO31" s="211"/>
      <c r="BP31" s="531"/>
      <c r="BQ31" s="373"/>
      <c r="BR31" s="211"/>
      <c r="BS31" s="211"/>
      <c r="BT31" s="211"/>
      <c r="BU31" s="531"/>
      <c r="BV31" s="373"/>
      <c r="BW31" s="211"/>
      <c r="BX31" s="211"/>
      <c r="BY31" s="211"/>
      <c r="BZ31" s="531"/>
      <c r="CA31" s="373"/>
      <c r="CB31" s="211"/>
      <c r="CC31" s="211"/>
      <c r="CD31" s="211"/>
      <c r="CE31" s="531"/>
      <c r="CF31" s="373"/>
      <c r="CG31" s="211"/>
      <c r="CH31" s="211"/>
      <c r="CI31" s="211"/>
      <c r="CJ31" s="531"/>
    </row>
    <row r="32" spans="1:88" ht="20.100000000000001" customHeight="1" x14ac:dyDescent="0.25">
      <c r="A32" s="210">
        <v>44118</v>
      </c>
      <c r="B32" s="788">
        <f t="shared" si="1"/>
        <v>3912</v>
      </c>
      <c r="C32" s="544">
        <f>SUM(H32,S32,X32,AC32,AH32,N32,AM32,AR32,AW32,BB32,BG32,BL32,BQ32,BV32,CA32,CF32)</f>
        <v>1655</v>
      </c>
      <c r="D32" s="545">
        <f>SUM(I32,T32,Y32,AD32,AI32,AN32,AS32,O32,AX32,BC32,BH32,BM32,BR32,BW32,CB32,CG32)</f>
        <v>539</v>
      </c>
      <c r="E32" s="545">
        <f t="shared" ref="E32:F32" si="25">SUM(J32,P32,U32,Z32,AE32,AJ32,AO32,AT32,AY32,BD32,BI32,BN32,BS32,BX32,CC32,CH32)</f>
        <v>1627</v>
      </c>
      <c r="F32" s="545">
        <f t="shared" si="25"/>
        <v>91</v>
      </c>
      <c r="G32" s="602">
        <f t="shared" ref="G32:G36" si="26">L32</f>
        <v>0</v>
      </c>
      <c r="H32" s="213">
        <f>11+64</f>
        <v>75</v>
      </c>
      <c r="I32" s="212">
        <f>30+87</f>
        <v>117</v>
      </c>
      <c r="J32" s="212">
        <f>42+242</f>
        <v>284</v>
      </c>
      <c r="K32" s="212">
        <f>0+4</f>
        <v>4</v>
      </c>
      <c r="L32" s="212">
        <v>0</v>
      </c>
      <c r="M32" s="601">
        <f t="shared" si="9"/>
        <v>480</v>
      </c>
      <c r="N32" s="651"/>
      <c r="O32" s="600"/>
      <c r="P32" s="600"/>
      <c r="Q32" s="600"/>
      <c r="R32" s="586">
        <f>SUM(N32:Q32)</f>
        <v>0</v>
      </c>
      <c r="S32" s="376">
        <v>6</v>
      </c>
      <c r="T32" s="212">
        <v>52</v>
      </c>
      <c r="U32" s="212">
        <v>70</v>
      </c>
      <c r="V32" s="212">
        <v>0</v>
      </c>
      <c r="W32" s="586">
        <f>SUM(S32:V32)</f>
        <v>128</v>
      </c>
      <c r="X32" s="212">
        <v>530</v>
      </c>
      <c r="Y32" s="212">
        <v>1</v>
      </c>
      <c r="Z32" s="212">
        <v>16</v>
      </c>
      <c r="AA32" s="212">
        <v>0</v>
      </c>
      <c r="AB32" s="586">
        <f>SUM(X32:AA32)</f>
        <v>547</v>
      </c>
      <c r="AC32" s="373"/>
      <c r="AD32" s="211"/>
      <c r="AE32" s="211"/>
      <c r="AF32" s="211"/>
      <c r="AG32" s="493">
        <f>SUM(AC32:AF32)</f>
        <v>0</v>
      </c>
      <c r="AH32" s="376">
        <v>1</v>
      </c>
      <c r="AI32" s="212">
        <v>73</v>
      </c>
      <c r="AJ32" s="212">
        <v>106</v>
      </c>
      <c r="AK32" s="212">
        <v>84</v>
      </c>
      <c r="AL32" s="586">
        <f>SUM(AH32:AK32)</f>
        <v>264</v>
      </c>
      <c r="AM32" s="376">
        <v>33</v>
      </c>
      <c r="AN32" s="212">
        <v>36</v>
      </c>
      <c r="AO32" s="212">
        <v>69</v>
      </c>
      <c r="AP32" s="212">
        <v>0</v>
      </c>
      <c r="AQ32" s="586">
        <f>SUM(AM32:AP32)</f>
        <v>138</v>
      </c>
      <c r="AR32" s="376">
        <v>173</v>
      </c>
      <c r="AS32" s="212">
        <v>0</v>
      </c>
      <c r="AT32" s="212">
        <v>120</v>
      </c>
      <c r="AU32" s="212">
        <v>0</v>
      </c>
      <c r="AV32" s="586">
        <f>SUM(AR32:AU32)</f>
        <v>293</v>
      </c>
      <c r="AW32" s="376">
        <v>95</v>
      </c>
      <c r="AX32" s="212">
        <v>108</v>
      </c>
      <c r="AY32" s="212">
        <v>39</v>
      </c>
      <c r="AZ32" s="212">
        <v>0</v>
      </c>
      <c r="BA32" s="586">
        <f>SUM(AW32:AZ32)</f>
        <v>242</v>
      </c>
      <c r="BB32" s="600">
        <v>524</v>
      </c>
      <c r="BC32" s="600">
        <v>1</v>
      </c>
      <c r="BD32" s="600">
        <v>5</v>
      </c>
      <c r="BE32" s="600">
        <v>0</v>
      </c>
      <c r="BF32" s="548">
        <f>SUM(BB32:BE32)</f>
        <v>530</v>
      </c>
      <c r="BG32" s="376">
        <v>0</v>
      </c>
      <c r="BH32" s="212">
        <v>38</v>
      </c>
      <c r="BI32" s="212">
        <v>301</v>
      </c>
      <c r="BJ32" s="212">
        <v>3</v>
      </c>
      <c r="BK32" s="586">
        <f>SUM(BG32:BJ32)</f>
        <v>342</v>
      </c>
      <c r="BL32" s="376">
        <v>5</v>
      </c>
      <c r="BM32" s="212">
        <v>0</v>
      </c>
      <c r="BN32" s="212">
        <v>171</v>
      </c>
      <c r="BO32" s="212">
        <v>0</v>
      </c>
      <c r="BP32" s="586">
        <f>SUM(BL32:BO32)</f>
        <v>176</v>
      </c>
      <c r="BQ32" s="376">
        <v>0</v>
      </c>
      <c r="BR32" s="212">
        <v>64</v>
      </c>
      <c r="BS32" s="212">
        <v>6</v>
      </c>
      <c r="BT32" s="212">
        <v>0</v>
      </c>
      <c r="BU32" s="586">
        <f>SUM(BQ32:BT32)</f>
        <v>70</v>
      </c>
      <c r="BV32" s="376">
        <v>85</v>
      </c>
      <c r="BW32" s="212">
        <v>0</v>
      </c>
      <c r="BX32" s="212">
        <v>58</v>
      </c>
      <c r="BY32" s="212">
        <v>0</v>
      </c>
      <c r="BZ32" s="586">
        <f>SUM(BV32:BY32)</f>
        <v>143</v>
      </c>
      <c r="CA32" s="376">
        <v>95</v>
      </c>
      <c r="CB32" s="212">
        <v>6</v>
      </c>
      <c r="CC32" s="212">
        <v>60</v>
      </c>
      <c r="CD32" s="212">
        <v>0</v>
      </c>
      <c r="CE32" s="586">
        <f>SUM(CA32:CD32)</f>
        <v>161</v>
      </c>
      <c r="CF32" s="376">
        <v>33</v>
      </c>
      <c r="CG32" s="212">
        <v>43</v>
      </c>
      <c r="CH32" s="212">
        <v>322</v>
      </c>
      <c r="CI32" s="212">
        <v>0</v>
      </c>
      <c r="CJ32" s="586">
        <f>SUM(CF32:CI32)</f>
        <v>398</v>
      </c>
    </row>
    <row r="33" spans="1:88" ht="20.100000000000001" customHeight="1" x14ac:dyDescent="0.25">
      <c r="A33" s="210">
        <v>44119</v>
      </c>
      <c r="B33" s="788">
        <f t="shared" si="1"/>
        <v>4141</v>
      </c>
      <c r="C33" s="544">
        <f t="shared" ref="C33:C51" si="27">SUM(H33,S33,X33,AC33,AH33,N33,AM33,AR33,AW33,BB33,BG33,BL33,BQ33,BV33,CA33,CF33)</f>
        <v>1368</v>
      </c>
      <c r="D33" s="545">
        <f t="shared" ref="D33:D52" si="28">SUM(I33,T33,Y33,AD33,AI33,AN33,AS33,O33,AX33,BC33,BH33,BM33,BR33,BW33,CB33,CG33)</f>
        <v>755</v>
      </c>
      <c r="E33" s="545">
        <f>SUM(J33,P33,U33,Z33,AE33,AJ33,AO33,AT33,AY33,BD33,BI33,BN33,BS33,BX33,CC33,CH33)</f>
        <v>1955</v>
      </c>
      <c r="F33" s="545">
        <f>SUM(K33,Q33,V33,AA33,AF33,AK33,AP33,AU33,AZ33,BE33,BJ33,BO33,BT33,BY33,CD33,CI33)</f>
        <v>61</v>
      </c>
      <c r="G33" s="602">
        <f t="shared" si="26"/>
        <v>2</v>
      </c>
      <c r="H33" s="213">
        <f>91+54</f>
        <v>145</v>
      </c>
      <c r="I33" s="212">
        <f>196+103</f>
        <v>299</v>
      </c>
      <c r="J33" s="212">
        <f>415+227</f>
        <v>642</v>
      </c>
      <c r="K33" s="212">
        <v>9</v>
      </c>
      <c r="L33" s="212">
        <v>2</v>
      </c>
      <c r="M33" s="601">
        <f t="shared" ref="M33:M42" si="29">SUM(H33:L33)</f>
        <v>1097</v>
      </c>
      <c r="N33" s="651">
        <f>12+7</f>
        <v>19</v>
      </c>
      <c r="O33" s="600">
        <v>2</v>
      </c>
      <c r="P33" s="600">
        <v>6</v>
      </c>
      <c r="Q33" s="600">
        <v>0</v>
      </c>
      <c r="R33" s="586">
        <f>SUM(N33:Q33)</f>
        <v>27</v>
      </c>
      <c r="S33" s="376">
        <v>0</v>
      </c>
      <c r="T33" s="212">
        <v>38</v>
      </c>
      <c r="U33" s="212">
        <v>38</v>
      </c>
      <c r="V33" s="212">
        <v>0</v>
      </c>
      <c r="W33" s="586">
        <f>SUM(S33:V33)</f>
        <v>76</v>
      </c>
      <c r="X33" s="212">
        <v>235</v>
      </c>
      <c r="Y33" s="212">
        <v>0</v>
      </c>
      <c r="Z33" s="212">
        <v>13</v>
      </c>
      <c r="AA33" s="212">
        <v>0</v>
      </c>
      <c r="AB33" s="586">
        <f>SUM(X33:AA33)</f>
        <v>248</v>
      </c>
      <c r="AC33" s="373"/>
      <c r="AD33" s="211"/>
      <c r="AE33" s="211"/>
      <c r="AF33" s="211"/>
      <c r="AG33" s="531">
        <v>0</v>
      </c>
      <c r="AH33" s="376">
        <v>0</v>
      </c>
      <c r="AI33" s="212">
        <v>54</v>
      </c>
      <c r="AJ33" s="212">
        <v>87</v>
      </c>
      <c r="AK33" s="212">
        <v>47</v>
      </c>
      <c r="AL33" s="586">
        <f>SUM(AH33:AK33)</f>
        <v>188</v>
      </c>
      <c r="AM33" s="376">
        <v>33</v>
      </c>
      <c r="AN33" s="212">
        <v>27</v>
      </c>
      <c r="AO33" s="212">
        <v>62</v>
      </c>
      <c r="AP33" s="212">
        <v>0</v>
      </c>
      <c r="AQ33" s="586">
        <f>SUM(AM33:AP33)</f>
        <v>122</v>
      </c>
      <c r="AR33" s="376">
        <v>150</v>
      </c>
      <c r="AS33" s="212">
        <v>0</v>
      </c>
      <c r="AT33" s="212">
        <v>129</v>
      </c>
      <c r="AU33" s="212">
        <v>0</v>
      </c>
      <c r="AV33" s="586">
        <f>SUM(AR33:AU33)</f>
        <v>279</v>
      </c>
      <c r="AW33" s="376">
        <v>129</v>
      </c>
      <c r="AX33" s="212">
        <v>166</v>
      </c>
      <c r="AY33" s="212">
        <v>34</v>
      </c>
      <c r="AZ33" s="212">
        <v>3</v>
      </c>
      <c r="BA33" s="586">
        <f>SUM(AW33:AZ33)</f>
        <v>332</v>
      </c>
      <c r="BB33" s="526">
        <v>348</v>
      </c>
      <c r="BC33" s="526">
        <v>2</v>
      </c>
      <c r="BD33" s="526">
        <v>5</v>
      </c>
      <c r="BE33" s="526">
        <v>0</v>
      </c>
      <c r="BF33" s="548">
        <f>SUM(BB33:BE33)</f>
        <v>355</v>
      </c>
      <c r="BG33" s="376">
        <v>2</v>
      </c>
      <c r="BH33" s="212">
        <v>39</v>
      </c>
      <c r="BI33" s="212">
        <v>229</v>
      </c>
      <c r="BJ33" s="212">
        <v>2</v>
      </c>
      <c r="BK33" s="586">
        <f>SUM(BG33:BJ33)</f>
        <v>272</v>
      </c>
      <c r="BL33" s="376">
        <v>2</v>
      </c>
      <c r="BM33" s="212">
        <v>1</v>
      </c>
      <c r="BN33" s="212">
        <v>144</v>
      </c>
      <c r="BO33" s="212">
        <v>0</v>
      </c>
      <c r="BP33" s="586">
        <f>SUM(BL33:BO33)</f>
        <v>147</v>
      </c>
      <c r="BQ33" s="376">
        <v>1</v>
      </c>
      <c r="BR33" s="212">
        <v>77</v>
      </c>
      <c r="BS33" s="212">
        <v>10</v>
      </c>
      <c r="BT33" s="212">
        <v>0</v>
      </c>
      <c r="BU33" s="586">
        <f>SUM(BQ33:BT33)</f>
        <v>88</v>
      </c>
      <c r="BV33" s="376">
        <v>93</v>
      </c>
      <c r="BW33" s="212">
        <v>0</v>
      </c>
      <c r="BX33" s="212">
        <v>54</v>
      </c>
      <c r="BY33" s="212">
        <v>0</v>
      </c>
      <c r="BZ33" s="586">
        <f>SUM(BV33:BY33)</f>
        <v>147</v>
      </c>
      <c r="CA33" s="376">
        <v>156</v>
      </c>
      <c r="CB33" s="212">
        <v>9</v>
      </c>
      <c r="CC33" s="212">
        <v>135</v>
      </c>
      <c r="CD33" s="212">
        <v>0</v>
      </c>
      <c r="CE33" s="586">
        <f>SUM(CA33:CD33)</f>
        <v>300</v>
      </c>
      <c r="CF33" s="376">
        <v>55</v>
      </c>
      <c r="CG33" s="212">
        <v>41</v>
      </c>
      <c r="CH33" s="212">
        <v>367</v>
      </c>
      <c r="CI33" s="212">
        <v>0</v>
      </c>
      <c r="CJ33" s="586">
        <f>SUM(CF33:CI33)</f>
        <v>463</v>
      </c>
    </row>
    <row r="34" spans="1:88" ht="20.100000000000001" customHeight="1" x14ac:dyDescent="0.25">
      <c r="A34" s="210">
        <v>44120</v>
      </c>
      <c r="B34" s="788">
        <f t="shared" si="1"/>
        <v>3178</v>
      </c>
      <c r="C34" s="544">
        <f t="shared" si="27"/>
        <v>1232</v>
      </c>
      <c r="D34" s="545">
        <f t="shared" si="28"/>
        <v>510</v>
      </c>
      <c r="E34" s="545">
        <f t="shared" ref="E34:E52" si="30">SUM(J34,P34,U34,Z34,AE34,AJ34,AO34,AT34,AY34,BD34,BI34,BN34,BS34,BX34,CC34,CH34)</f>
        <v>1420</v>
      </c>
      <c r="F34" s="545">
        <f t="shared" ref="F34:F52" si="31">SUM(K34,Q34,V34,AA34,AF34,AK34,AP34,AU34,AZ34,BE34,BJ34,BO34,BT34,BY34,CD34,CI34)</f>
        <v>16</v>
      </c>
      <c r="G34" s="602">
        <f t="shared" si="26"/>
        <v>0</v>
      </c>
      <c r="H34" s="213">
        <f>42+51+33</f>
        <v>126</v>
      </c>
      <c r="I34" s="212">
        <f>117+114+112</f>
        <v>343</v>
      </c>
      <c r="J34" s="212">
        <f>103+238+225</f>
        <v>566</v>
      </c>
      <c r="K34" s="212">
        <f>3+0+2</f>
        <v>5</v>
      </c>
      <c r="L34" s="212">
        <v>0</v>
      </c>
      <c r="M34" s="601">
        <f t="shared" si="29"/>
        <v>1040</v>
      </c>
      <c r="N34" s="651">
        <v>0</v>
      </c>
      <c r="O34" s="600">
        <v>0</v>
      </c>
      <c r="P34" s="600">
        <v>0</v>
      </c>
      <c r="Q34" s="600">
        <v>0</v>
      </c>
      <c r="R34" s="586">
        <v>0</v>
      </c>
      <c r="S34" s="376">
        <v>1</v>
      </c>
      <c r="T34" s="212">
        <v>11</v>
      </c>
      <c r="U34" s="212">
        <v>16</v>
      </c>
      <c r="V34" s="212">
        <v>0</v>
      </c>
      <c r="W34" s="586">
        <f>SUM(S34:V34)</f>
        <v>28</v>
      </c>
      <c r="X34" s="212">
        <v>378</v>
      </c>
      <c r="Y34" s="212">
        <v>5</v>
      </c>
      <c r="Z34" s="212">
        <v>21</v>
      </c>
      <c r="AA34" s="212">
        <v>0</v>
      </c>
      <c r="AB34" s="586">
        <f>SUM(X34:AA34)</f>
        <v>404</v>
      </c>
      <c r="AC34" s="373"/>
      <c r="AD34" s="211"/>
      <c r="AE34" s="211"/>
      <c r="AF34" s="211"/>
      <c r="AG34" s="531">
        <v>0</v>
      </c>
      <c r="AH34" s="376">
        <v>0</v>
      </c>
      <c r="AI34" s="212">
        <v>8</v>
      </c>
      <c r="AJ34" s="212">
        <v>22</v>
      </c>
      <c r="AK34" s="212">
        <v>11</v>
      </c>
      <c r="AL34" s="586">
        <f>SUM(AH34:AK34)</f>
        <v>41</v>
      </c>
      <c r="AM34" s="376">
        <v>12</v>
      </c>
      <c r="AN34" s="212">
        <v>17</v>
      </c>
      <c r="AO34" s="212">
        <v>26</v>
      </c>
      <c r="AP34" s="212">
        <v>0</v>
      </c>
      <c r="AQ34" s="586">
        <f>SUM(AM34:AP34)</f>
        <v>55</v>
      </c>
      <c r="AR34" s="376">
        <v>100</v>
      </c>
      <c r="AS34" s="212">
        <v>0</v>
      </c>
      <c r="AT34" s="212">
        <v>153</v>
      </c>
      <c r="AU34" s="212">
        <v>0</v>
      </c>
      <c r="AV34" s="586">
        <f>SUM(AR34:AU34)</f>
        <v>253</v>
      </c>
      <c r="AW34" s="376">
        <v>89</v>
      </c>
      <c r="AX34" s="212">
        <v>73</v>
      </c>
      <c r="AY34" s="212">
        <v>25</v>
      </c>
      <c r="AZ34" s="212">
        <v>0</v>
      </c>
      <c r="BA34" s="586">
        <f>SUM(AW34:AZ34)</f>
        <v>187</v>
      </c>
      <c r="BB34" s="526">
        <v>322</v>
      </c>
      <c r="BC34" s="526">
        <v>0</v>
      </c>
      <c r="BD34" s="526">
        <v>1</v>
      </c>
      <c r="BE34" s="526">
        <v>0</v>
      </c>
      <c r="BF34" s="548">
        <f>SUM(BB34:BE34)</f>
        <v>323</v>
      </c>
      <c r="BG34" s="376">
        <v>0</v>
      </c>
      <c r="BH34" s="212">
        <v>1</v>
      </c>
      <c r="BI34" s="212">
        <v>13</v>
      </c>
      <c r="BJ34" s="212">
        <v>0</v>
      </c>
      <c r="BK34" s="586">
        <f>SUM(BG34:BJ34)</f>
        <v>14</v>
      </c>
      <c r="BL34" s="376">
        <v>2</v>
      </c>
      <c r="BM34" s="212">
        <v>0</v>
      </c>
      <c r="BN34" s="212">
        <v>135</v>
      </c>
      <c r="BO34" s="212">
        <v>0</v>
      </c>
      <c r="BP34" s="586">
        <f>SUM(BL34:BO34)</f>
        <v>137</v>
      </c>
      <c r="BQ34" s="376">
        <v>1</v>
      </c>
      <c r="BR34" s="212">
        <v>22</v>
      </c>
      <c r="BS34" s="212">
        <v>2</v>
      </c>
      <c r="BT34" s="212">
        <v>0</v>
      </c>
      <c r="BU34" s="586">
        <f>SUM(BQ34:BT34)</f>
        <v>25</v>
      </c>
      <c r="BV34" s="376">
        <v>73</v>
      </c>
      <c r="BW34" s="212">
        <v>0</v>
      </c>
      <c r="BX34" s="212">
        <v>70</v>
      </c>
      <c r="BY34" s="212">
        <v>0</v>
      </c>
      <c r="BZ34" s="586">
        <f>SUM(BV34:BY34)</f>
        <v>143</v>
      </c>
      <c r="CA34" s="376">
        <v>86</v>
      </c>
      <c r="CB34" s="212">
        <v>3</v>
      </c>
      <c r="CC34" s="212">
        <v>77</v>
      </c>
      <c r="CD34" s="212">
        <v>0</v>
      </c>
      <c r="CE34" s="586">
        <f>SUM(CA34:CD34)</f>
        <v>166</v>
      </c>
      <c r="CF34" s="376">
        <v>42</v>
      </c>
      <c r="CG34" s="212">
        <v>27</v>
      </c>
      <c r="CH34" s="212">
        <v>293</v>
      </c>
      <c r="CI34" s="212">
        <v>0</v>
      </c>
      <c r="CJ34" s="586">
        <f>SUM(CF34:CI34)</f>
        <v>362</v>
      </c>
    </row>
    <row r="35" spans="1:88" s="84" customFormat="1" ht="20.100000000000001" customHeight="1" x14ac:dyDescent="0.25">
      <c r="A35" s="363">
        <v>44121</v>
      </c>
      <c r="B35" s="788">
        <f t="shared" si="1"/>
        <v>4830</v>
      </c>
      <c r="C35" s="544">
        <f t="shared" si="27"/>
        <v>1506</v>
      </c>
      <c r="D35" s="545">
        <f t="shared" si="28"/>
        <v>1083</v>
      </c>
      <c r="E35" s="545">
        <f t="shared" si="30"/>
        <v>2113</v>
      </c>
      <c r="F35" s="545">
        <f t="shared" si="31"/>
        <v>128</v>
      </c>
      <c r="G35" s="602">
        <f t="shared" si="26"/>
        <v>0</v>
      </c>
      <c r="H35" s="215">
        <f>33</f>
        <v>33</v>
      </c>
      <c r="I35" s="216">
        <f>112</f>
        <v>112</v>
      </c>
      <c r="J35" s="216">
        <v>225</v>
      </c>
      <c r="K35" s="216">
        <v>2</v>
      </c>
      <c r="L35" s="216">
        <v>0</v>
      </c>
      <c r="M35" s="601">
        <f t="shared" si="29"/>
        <v>372</v>
      </c>
      <c r="N35" s="651">
        <v>9</v>
      </c>
      <c r="O35" s="600">
        <v>0</v>
      </c>
      <c r="P35" s="600">
        <v>0</v>
      </c>
      <c r="Q35" s="600">
        <v>0</v>
      </c>
      <c r="R35" s="586">
        <f>SUM(N35:Q35)</f>
        <v>9</v>
      </c>
      <c r="S35" s="628">
        <v>2</v>
      </c>
      <c r="T35" s="216">
        <v>137</v>
      </c>
      <c r="U35" s="216">
        <v>162</v>
      </c>
      <c r="V35" s="216">
        <v>0</v>
      </c>
      <c r="W35" s="586">
        <f>SUM(S35:V35)</f>
        <v>301</v>
      </c>
      <c r="X35" s="216">
        <v>406</v>
      </c>
      <c r="Y35" s="216">
        <v>1</v>
      </c>
      <c r="Z35" s="216">
        <v>21</v>
      </c>
      <c r="AA35" s="216">
        <v>0</v>
      </c>
      <c r="AB35" s="586">
        <f>SUM(X35:AA35)</f>
        <v>428</v>
      </c>
      <c r="AC35" s="628">
        <v>2</v>
      </c>
      <c r="AD35" s="216">
        <v>238</v>
      </c>
      <c r="AE35" s="216">
        <v>15</v>
      </c>
      <c r="AF35" s="216">
        <v>0</v>
      </c>
      <c r="AG35" s="586">
        <v>265</v>
      </c>
      <c r="AH35" s="628">
        <v>1</v>
      </c>
      <c r="AI35" s="216">
        <v>133</v>
      </c>
      <c r="AJ35" s="216">
        <v>175</v>
      </c>
      <c r="AK35" s="216">
        <v>120</v>
      </c>
      <c r="AL35" s="586">
        <f>SUM(AH35:AK35)</f>
        <v>429</v>
      </c>
      <c r="AM35" s="628">
        <v>32</v>
      </c>
      <c r="AN35" s="216">
        <v>53</v>
      </c>
      <c r="AO35" s="216">
        <v>63</v>
      </c>
      <c r="AP35" s="216">
        <v>0</v>
      </c>
      <c r="AQ35" s="586">
        <f>SUM(AM35:AP35)</f>
        <v>148</v>
      </c>
      <c r="AR35" s="628">
        <v>113</v>
      </c>
      <c r="AS35" s="216">
        <v>0</v>
      </c>
      <c r="AT35" s="216">
        <v>131</v>
      </c>
      <c r="AU35" s="216">
        <v>0</v>
      </c>
      <c r="AV35" s="586">
        <f>SUM(AR35:AU35)</f>
        <v>244</v>
      </c>
      <c r="AW35" s="628">
        <v>149</v>
      </c>
      <c r="AX35" s="216">
        <v>140</v>
      </c>
      <c r="AY35" s="216">
        <v>48</v>
      </c>
      <c r="AZ35" s="216">
        <v>0</v>
      </c>
      <c r="BA35" s="586">
        <f>SUM(AW35:AZ35)</f>
        <v>337</v>
      </c>
      <c r="BB35" s="526">
        <v>450</v>
      </c>
      <c r="BC35" s="526">
        <v>0</v>
      </c>
      <c r="BD35" s="526">
        <v>4</v>
      </c>
      <c r="BE35" s="526">
        <v>0</v>
      </c>
      <c r="BF35" s="548">
        <f>SUM(BB35:BE35)</f>
        <v>454</v>
      </c>
      <c r="BG35" s="628">
        <v>0</v>
      </c>
      <c r="BH35" s="216">
        <v>71</v>
      </c>
      <c r="BI35" s="216">
        <v>516</v>
      </c>
      <c r="BJ35" s="216">
        <v>6</v>
      </c>
      <c r="BK35" s="586">
        <f>SUM(BG35:BJ35)</f>
        <v>593</v>
      </c>
      <c r="BL35" s="628">
        <v>8</v>
      </c>
      <c r="BM35" s="216">
        <v>1</v>
      </c>
      <c r="BN35" s="216">
        <v>187</v>
      </c>
      <c r="BO35" s="216">
        <v>0</v>
      </c>
      <c r="BP35" s="586">
        <f>SUM(BL35:BO35)</f>
        <v>196</v>
      </c>
      <c r="BQ35" s="628">
        <v>1</v>
      </c>
      <c r="BR35" s="216">
        <v>149</v>
      </c>
      <c r="BS35" s="216">
        <v>26</v>
      </c>
      <c r="BT35" s="216">
        <v>0</v>
      </c>
      <c r="BU35" s="586">
        <f>SUM(BQ35:BT35)</f>
        <v>176</v>
      </c>
      <c r="BV35" s="628">
        <v>72</v>
      </c>
      <c r="BW35" s="216">
        <v>2</v>
      </c>
      <c r="BX35" s="216">
        <v>53</v>
      </c>
      <c r="BY35" s="216">
        <v>0</v>
      </c>
      <c r="BZ35" s="586">
        <f>SUM(BV35:BY35)</f>
        <v>127</v>
      </c>
      <c r="CA35" s="628">
        <f>115+58</f>
        <v>173</v>
      </c>
      <c r="CB35" s="216">
        <f>16+5</f>
        <v>21</v>
      </c>
      <c r="CC35" s="216">
        <f>105+31</f>
        <v>136</v>
      </c>
      <c r="CD35" s="216">
        <v>0</v>
      </c>
      <c r="CE35" s="586">
        <f>SUM(CA35:CD35)</f>
        <v>330</v>
      </c>
      <c r="CF35" s="628">
        <v>55</v>
      </c>
      <c r="CG35" s="216">
        <v>25</v>
      </c>
      <c r="CH35" s="216">
        <v>351</v>
      </c>
      <c r="CI35" s="216">
        <v>0</v>
      </c>
      <c r="CJ35" s="586">
        <f>SUM(CF35:CI35)</f>
        <v>431</v>
      </c>
    </row>
    <row r="36" spans="1:88" ht="20.100000000000001" customHeight="1" thickBot="1" x14ac:dyDescent="0.3">
      <c r="A36" s="725">
        <v>44122</v>
      </c>
      <c r="B36" s="788">
        <f t="shared" si="1"/>
        <v>1171</v>
      </c>
      <c r="C36" s="544">
        <f t="shared" si="27"/>
        <v>177</v>
      </c>
      <c r="D36" s="545">
        <f t="shared" si="28"/>
        <v>262</v>
      </c>
      <c r="E36" s="545">
        <f t="shared" si="30"/>
        <v>720</v>
      </c>
      <c r="F36" s="545">
        <f t="shared" si="31"/>
        <v>7</v>
      </c>
      <c r="G36" s="602">
        <f t="shared" si="26"/>
        <v>5</v>
      </c>
      <c r="H36" s="647">
        <f>67+66+44</f>
        <v>177</v>
      </c>
      <c r="I36" s="648">
        <f>87+83+92</f>
        <v>262</v>
      </c>
      <c r="J36" s="648">
        <f>228+258+234</f>
        <v>720</v>
      </c>
      <c r="K36" s="648">
        <f>7+0</f>
        <v>7</v>
      </c>
      <c r="L36" s="648">
        <v>5</v>
      </c>
      <c r="M36" s="601">
        <f t="shared" si="29"/>
        <v>1171</v>
      </c>
      <c r="N36" s="652"/>
      <c r="O36" s="653"/>
      <c r="P36" s="653"/>
      <c r="Q36" s="653"/>
      <c r="R36" s="532"/>
      <c r="S36" s="374"/>
      <c r="T36" s="240"/>
      <c r="U36" s="240"/>
      <c r="V36" s="240"/>
      <c r="W36" s="532"/>
      <c r="X36" s="240"/>
      <c r="Y36" s="240"/>
      <c r="Z36" s="240"/>
      <c r="AA36" s="240"/>
      <c r="AB36" s="532"/>
      <c r="AC36" s="374"/>
      <c r="AD36" s="240"/>
      <c r="AE36" s="240"/>
      <c r="AF36" s="240"/>
      <c r="AG36" s="532"/>
      <c r="AH36" s="374"/>
      <c r="AI36" s="240"/>
      <c r="AJ36" s="240"/>
      <c r="AK36" s="240"/>
      <c r="AL36" s="532"/>
      <c r="AM36" s="374"/>
      <c r="AN36" s="240"/>
      <c r="AO36" s="240"/>
      <c r="AP36" s="240"/>
      <c r="AQ36" s="532"/>
      <c r="AR36" s="374"/>
      <c r="AS36" s="240"/>
      <c r="AT36" s="240"/>
      <c r="AU36" s="240"/>
      <c r="AV36" s="532"/>
      <c r="AW36" s="374"/>
      <c r="AX36" s="240"/>
      <c r="AY36" s="240"/>
      <c r="AZ36" s="240"/>
      <c r="BA36" s="532"/>
      <c r="BB36" s="523"/>
      <c r="BC36" s="523"/>
      <c r="BD36" s="523"/>
      <c r="BE36" s="523"/>
      <c r="BF36" s="523"/>
      <c r="BG36" s="374"/>
      <c r="BH36" s="240"/>
      <c r="BI36" s="240"/>
      <c r="BJ36" s="240"/>
      <c r="BK36" s="532"/>
      <c r="BL36" s="374"/>
      <c r="BM36" s="240"/>
      <c r="BN36" s="240"/>
      <c r="BO36" s="240"/>
      <c r="BP36" s="532"/>
      <c r="BQ36" s="374"/>
      <c r="BR36" s="240"/>
      <c r="BS36" s="240"/>
      <c r="BT36" s="240"/>
      <c r="BU36" s="532"/>
      <c r="BV36" s="374"/>
      <c r="BW36" s="240"/>
      <c r="BX36" s="240"/>
      <c r="BY36" s="240"/>
      <c r="BZ36" s="532"/>
      <c r="CA36" s="374"/>
      <c r="CB36" s="240"/>
      <c r="CC36" s="240"/>
      <c r="CD36" s="240"/>
      <c r="CE36" s="532"/>
      <c r="CF36" s="374"/>
      <c r="CG36" s="240"/>
      <c r="CH36" s="240"/>
      <c r="CI36" s="240"/>
      <c r="CJ36" s="532"/>
    </row>
    <row r="37" spans="1:88" s="84" customFormat="1" ht="20.100000000000001" customHeight="1" x14ac:dyDescent="0.25">
      <c r="A37" s="210">
        <v>44123</v>
      </c>
      <c r="B37" s="788">
        <f t="shared" si="1"/>
        <v>3041</v>
      </c>
      <c r="C37" s="544">
        <f t="shared" si="27"/>
        <v>784</v>
      </c>
      <c r="D37" s="545">
        <f t="shared" si="28"/>
        <v>548</v>
      </c>
      <c r="E37" s="545">
        <f t="shared" si="30"/>
        <v>1669</v>
      </c>
      <c r="F37" s="545">
        <f t="shared" si="31"/>
        <v>39</v>
      </c>
      <c r="G37" s="602">
        <f t="shared" ref="G37:G40" si="32">L37</f>
        <v>1</v>
      </c>
      <c r="H37" s="324">
        <f>35+32+43+39-18</f>
        <v>131</v>
      </c>
      <c r="I37" s="323">
        <f>54+23+124+128-53</f>
        <v>276</v>
      </c>
      <c r="J37" s="323">
        <f>115+309+257+221-90</f>
        <v>812</v>
      </c>
      <c r="K37" s="323">
        <f>2+0+4+1-1</f>
        <v>6</v>
      </c>
      <c r="L37" s="323">
        <v>1</v>
      </c>
      <c r="M37" s="601">
        <f t="shared" si="29"/>
        <v>1226</v>
      </c>
      <c r="N37" s="654">
        <v>0</v>
      </c>
      <c r="O37" s="655">
        <v>0</v>
      </c>
      <c r="P37" s="655">
        <v>0</v>
      </c>
      <c r="Q37" s="655">
        <v>0</v>
      </c>
      <c r="R37" s="587">
        <v>0</v>
      </c>
      <c r="S37" s="375">
        <v>0</v>
      </c>
      <c r="T37" s="323">
        <v>43</v>
      </c>
      <c r="U37" s="323">
        <v>75</v>
      </c>
      <c r="V37" s="323">
        <v>0</v>
      </c>
      <c r="W37" s="587">
        <f t="shared" ref="W37:W42" si="33">SUM(S37:V37)</f>
        <v>118</v>
      </c>
      <c r="X37" s="323">
        <v>197</v>
      </c>
      <c r="Y37" s="323">
        <v>3</v>
      </c>
      <c r="Z37" s="323">
        <v>5</v>
      </c>
      <c r="AA37" s="323">
        <v>0</v>
      </c>
      <c r="AB37" s="587">
        <f t="shared" ref="AB37:AB42" si="34">SUM(X37:AA37)</f>
        <v>205</v>
      </c>
      <c r="AC37" s="533"/>
      <c r="AD37" s="241"/>
      <c r="AE37" s="241"/>
      <c r="AF37" s="241"/>
      <c r="AG37" s="595"/>
      <c r="AH37" s="375">
        <v>0</v>
      </c>
      <c r="AI37" s="323">
        <v>33</v>
      </c>
      <c r="AJ37" s="323">
        <v>20</v>
      </c>
      <c r="AK37" s="323">
        <v>33</v>
      </c>
      <c r="AL37" s="587">
        <f t="shared" ref="AL37:AL42" si="35">SUM(AH37:AK37)</f>
        <v>86</v>
      </c>
      <c r="AM37" s="375">
        <v>8</v>
      </c>
      <c r="AN37" s="323">
        <v>8</v>
      </c>
      <c r="AO37" s="323">
        <v>15</v>
      </c>
      <c r="AP37" s="323">
        <v>0</v>
      </c>
      <c r="AQ37" s="587">
        <f t="shared" ref="AQ37:AQ42" si="36">SUM(AM37:AP37)</f>
        <v>31</v>
      </c>
      <c r="AR37" s="375">
        <v>66</v>
      </c>
      <c r="AS37" s="323">
        <v>0</v>
      </c>
      <c r="AT37" s="323">
        <v>79</v>
      </c>
      <c r="AU37" s="323">
        <v>0</v>
      </c>
      <c r="AV37" s="587">
        <f t="shared" ref="AV37:AV42" si="37">SUM(AR37:AU37)</f>
        <v>145</v>
      </c>
      <c r="AW37" s="375">
        <v>64</v>
      </c>
      <c r="AX37" s="323">
        <v>66</v>
      </c>
      <c r="AY37" s="323">
        <v>30</v>
      </c>
      <c r="AZ37" s="323">
        <v>0</v>
      </c>
      <c r="BA37" s="587">
        <f t="shared" ref="BA37:BA42" si="38">SUM(AW37:AZ37)</f>
        <v>160</v>
      </c>
      <c r="BB37" s="527">
        <v>170</v>
      </c>
      <c r="BC37" s="527">
        <v>0</v>
      </c>
      <c r="BD37" s="527">
        <v>4</v>
      </c>
      <c r="BE37" s="527">
        <v>0</v>
      </c>
      <c r="BF37" s="551">
        <f t="shared" ref="BF37:BF42" si="39">SUM(BB37:BE37)</f>
        <v>174</v>
      </c>
      <c r="BG37" s="375">
        <v>8</v>
      </c>
      <c r="BH37" s="323">
        <v>25</v>
      </c>
      <c r="BI37" s="323">
        <v>113</v>
      </c>
      <c r="BJ37" s="323">
        <v>0</v>
      </c>
      <c r="BK37" s="587">
        <f t="shared" ref="BK37:BK42" si="40">SUM(BG37:BJ37)</f>
        <v>146</v>
      </c>
      <c r="BL37" s="375">
        <v>3</v>
      </c>
      <c r="BM37" s="323">
        <v>1</v>
      </c>
      <c r="BN37" s="323">
        <v>124</v>
      </c>
      <c r="BO37" s="323">
        <v>0</v>
      </c>
      <c r="BP37" s="587">
        <f t="shared" ref="BP37:BP42" si="41">SUM(BL37:BO37)</f>
        <v>128</v>
      </c>
      <c r="BQ37" s="375">
        <v>1</v>
      </c>
      <c r="BR37" s="323">
        <v>58</v>
      </c>
      <c r="BS37" s="323">
        <v>6</v>
      </c>
      <c r="BT37" s="323">
        <v>0</v>
      </c>
      <c r="BU37" s="587">
        <f>SUM(BQ37:BT37)</f>
        <v>65</v>
      </c>
      <c r="BV37" s="375">
        <v>55</v>
      </c>
      <c r="BW37" s="323">
        <v>1</v>
      </c>
      <c r="BX37" s="323">
        <v>34</v>
      </c>
      <c r="BY37" s="323">
        <v>0</v>
      </c>
      <c r="BZ37" s="587">
        <f t="shared" ref="BZ37:BZ42" si="42">SUM(BV37:BY37)</f>
        <v>90</v>
      </c>
      <c r="CA37" s="375">
        <v>49</v>
      </c>
      <c r="CB37" s="323">
        <v>11</v>
      </c>
      <c r="CC37" s="323">
        <v>43</v>
      </c>
      <c r="CD37" s="323">
        <v>0</v>
      </c>
      <c r="CE37" s="587">
        <f t="shared" ref="CE37:CE42" si="43">SUM(CA37:CD37)</f>
        <v>103</v>
      </c>
      <c r="CF37" s="375">
        <v>32</v>
      </c>
      <c r="CG37" s="323">
        <v>23</v>
      </c>
      <c r="CH37" s="323">
        <v>309</v>
      </c>
      <c r="CI37" s="323">
        <v>0</v>
      </c>
      <c r="CJ37" s="587">
        <f t="shared" ref="CJ37:CJ42" si="44">SUM(CF37:CI37)</f>
        <v>364</v>
      </c>
    </row>
    <row r="38" spans="1:88" ht="20.100000000000001" customHeight="1" x14ac:dyDescent="0.25">
      <c r="A38" s="210">
        <v>44124</v>
      </c>
      <c r="B38" s="788">
        <f t="shared" si="1"/>
        <v>3041</v>
      </c>
      <c r="C38" s="544">
        <f t="shared" si="27"/>
        <v>1017</v>
      </c>
      <c r="D38" s="545">
        <f t="shared" si="28"/>
        <v>526</v>
      </c>
      <c r="E38" s="545">
        <f t="shared" si="30"/>
        <v>1438</v>
      </c>
      <c r="F38" s="545">
        <f t="shared" si="31"/>
        <v>57</v>
      </c>
      <c r="G38" s="602">
        <f t="shared" si="32"/>
        <v>3</v>
      </c>
      <c r="H38" s="213">
        <f>18+56-6</f>
        <v>68</v>
      </c>
      <c r="I38" s="212">
        <f>53+112</f>
        <v>165</v>
      </c>
      <c r="J38" s="212">
        <f>90+294</f>
        <v>384</v>
      </c>
      <c r="K38" s="212">
        <f>1+1</f>
        <v>2</v>
      </c>
      <c r="L38" s="212">
        <v>3</v>
      </c>
      <c r="M38" s="601">
        <f t="shared" si="29"/>
        <v>622</v>
      </c>
      <c r="N38" s="651">
        <v>6</v>
      </c>
      <c r="O38" s="600">
        <v>0</v>
      </c>
      <c r="P38" s="600">
        <v>0</v>
      </c>
      <c r="Q38" s="600">
        <v>0</v>
      </c>
      <c r="R38" s="586">
        <v>6</v>
      </c>
      <c r="S38" s="376">
        <v>2</v>
      </c>
      <c r="T38" s="212">
        <v>49</v>
      </c>
      <c r="U38" s="212">
        <v>44</v>
      </c>
      <c r="V38" s="212">
        <v>0</v>
      </c>
      <c r="W38" s="586">
        <f t="shared" si="33"/>
        <v>95</v>
      </c>
      <c r="X38" s="212">
        <v>132</v>
      </c>
      <c r="Y38" s="212">
        <v>0</v>
      </c>
      <c r="Z38" s="212">
        <v>13</v>
      </c>
      <c r="AA38" s="212">
        <v>0</v>
      </c>
      <c r="AB38" s="586">
        <f t="shared" si="34"/>
        <v>145</v>
      </c>
      <c r="AC38" s="373"/>
      <c r="AD38" s="211"/>
      <c r="AE38" s="211"/>
      <c r="AF38" s="211"/>
      <c r="AG38" s="531"/>
      <c r="AH38" s="376">
        <v>0</v>
      </c>
      <c r="AI38" s="212">
        <v>51</v>
      </c>
      <c r="AJ38" s="212">
        <v>89</v>
      </c>
      <c r="AK38" s="212">
        <v>54</v>
      </c>
      <c r="AL38" s="586">
        <f t="shared" si="35"/>
        <v>194</v>
      </c>
      <c r="AM38" s="376">
        <v>31</v>
      </c>
      <c r="AN38" s="212">
        <v>34</v>
      </c>
      <c r="AO38" s="212">
        <v>54</v>
      </c>
      <c r="AP38" s="212">
        <v>0</v>
      </c>
      <c r="AQ38" s="586">
        <f t="shared" si="36"/>
        <v>119</v>
      </c>
      <c r="AR38" s="376">
        <v>130</v>
      </c>
      <c r="AS38" s="212">
        <v>0</v>
      </c>
      <c r="AT38" s="212">
        <v>125</v>
      </c>
      <c r="AU38" s="212">
        <v>0</v>
      </c>
      <c r="AV38" s="586">
        <f t="shared" si="37"/>
        <v>255</v>
      </c>
      <c r="AW38" s="376">
        <v>85</v>
      </c>
      <c r="AX38" s="212">
        <v>79</v>
      </c>
      <c r="AY38" s="212">
        <v>12</v>
      </c>
      <c r="AZ38" s="212">
        <v>0</v>
      </c>
      <c r="BA38" s="586">
        <f t="shared" si="38"/>
        <v>176</v>
      </c>
      <c r="BB38" s="526">
        <v>396</v>
      </c>
      <c r="BC38" s="526">
        <v>2</v>
      </c>
      <c r="BD38" s="526">
        <v>2</v>
      </c>
      <c r="BE38" s="526">
        <v>0</v>
      </c>
      <c r="BF38" s="548">
        <f t="shared" si="39"/>
        <v>400</v>
      </c>
      <c r="BG38" s="376">
        <v>0</v>
      </c>
      <c r="BH38" s="212">
        <v>35</v>
      </c>
      <c r="BI38" s="212">
        <v>201</v>
      </c>
      <c r="BJ38" s="212">
        <v>1</v>
      </c>
      <c r="BK38" s="586">
        <f t="shared" si="40"/>
        <v>237</v>
      </c>
      <c r="BL38" s="376">
        <v>5</v>
      </c>
      <c r="BM38" s="212">
        <v>4</v>
      </c>
      <c r="BN38" s="212">
        <v>106</v>
      </c>
      <c r="BO38" s="212">
        <v>0</v>
      </c>
      <c r="BP38" s="586">
        <f t="shared" si="41"/>
        <v>115</v>
      </c>
      <c r="BQ38" s="376">
        <v>1</v>
      </c>
      <c r="BR38" s="212">
        <v>56</v>
      </c>
      <c r="BS38" s="212">
        <v>8</v>
      </c>
      <c r="BT38" s="212">
        <v>0</v>
      </c>
      <c r="BU38" s="586">
        <f>SUM(BQ38:BT38)</f>
        <v>65</v>
      </c>
      <c r="BV38" s="376">
        <v>31</v>
      </c>
      <c r="BW38" s="212">
        <v>1</v>
      </c>
      <c r="BX38" s="212">
        <v>37</v>
      </c>
      <c r="BY38" s="212">
        <v>0</v>
      </c>
      <c r="BZ38" s="586">
        <f t="shared" si="42"/>
        <v>69</v>
      </c>
      <c r="CA38" s="376">
        <v>99</v>
      </c>
      <c r="CB38" s="212">
        <v>15</v>
      </c>
      <c r="CC38" s="212">
        <v>96</v>
      </c>
      <c r="CD38" s="212">
        <v>0</v>
      </c>
      <c r="CE38" s="586">
        <f t="shared" si="43"/>
        <v>210</v>
      </c>
      <c r="CF38" s="376">
        <v>31</v>
      </c>
      <c r="CG38" s="212">
        <v>35</v>
      </c>
      <c r="CH38" s="212">
        <v>267</v>
      </c>
      <c r="CI38" s="212">
        <v>0</v>
      </c>
      <c r="CJ38" s="586">
        <f t="shared" si="44"/>
        <v>333</v>
      </c>
    </row>
    <row r="39" spans="1:88" ht="20.100000000000001" customHeight="1" x14ac:dyDescent="0.25">
      <c r="A39" s="210">
        <v>44125</v>
      </c>
      <c r="B39" s="788">
        <f t="shared" si="1"/>
        <v>2462</v>
      </c>
      <c r="C39" s="544">
        <f t="shared" si="27"/>
        <v>915</v>
      </c>
      <c r="D39" s="545">
        <f t="shared" si="28"/>
        <v>425</v>
      </c>
      <c r="E39" s="545">
        <f t="shared" si="30"/>
        <v>1055</v>
      </c>
      <c r="F39" s="545">
        <f t="shared" si="31"/>
        <v>67</v>
      </c>
      <c r="G39" s="602">
        <f t="shared" si="32"/>
        <v>0</v>
      </c>
      <c r="H39" s="213">
        <f>40+40</f>
        <v>80</v>
      </c>
      <c r="I39" s="212">
        <f>76+80</f>
        <v>156</v>
      </c>
      <c r="J39" s="212">
        <f>183</f>
        <v>183</v>
      </c>
      <c r="K39" s="212">
        <f>5+1</f>
        <v>6</v>
      </c>
      <c r="L39" s="212">
        <v>0</v>
      </c>
      <c r="M39" s="601">
        <f t="shared" si="29"/>
        <v>425</v>
      </c>
      <c r="N39" s="651">
        <v>0</v>
      </c>
      <c r="O39" s="600">
        <v>0</v>
      </c>
      <c r="P39" s="600">
        <v>0</v>
      </c>
      <c r="Q39" s="600">
        <v>0</v>
      </c>
      <c r="R39" s="586">
        <v>0</v>
      </c>
      <c r="S39" s="376">
        <v>0</v>
      </c>
      <c r="T39" s="212">
        <v>12</v>
      </c>
      <c r="U39" s="212">
        <v>14</v>
      </c>
      <c r="V39" s="212">
        <v>0</v>
      </c>
      <c r="W39" s="586">
        <f t="shared" si="33"/>
        <v>26</v>
      </c>
      <c r="X39" s="212">
        <v>353</v>
      </c>
      <c r="Y39" s="212">
        <v>6</v>
      </c>
      <c r="Z39" s="212">
        <v>14</v>
      </c>
      <c r="AA39" s="212">
        <v>0</v>
      </c>
      <c r="AB39" s="586">
        <f t="shared" si="34"/>
        <v>373</v>
      </c>
      <c r="AC39" s="373"/>
      <c r="AD39" s="211"/>
      <c r="AE39" s="211"/>
      <c r="AF39" s="211"/>
      <c r="AG39" s="531"/>
      <c r="AH39" s="376">
        <v>3</v>
      </c>
      <c r="AI39" s="212">
        <v>57</v>
      </c>
      <c r="AJ39" s="212">
        <v>106</v>
      </c>
      <c r="AK39" s="212">
        <v>59</v>
      </c>
      <c r="AL39" s="586">
        <f t="shared" si="35"/>
        <v>225</v>
      </c>
      <c r="AM39" s="376">
        <v>20</v>
      </c>
      <c r="AN39" s="212">
        <v>16</v>
      </c>
      <c r="AO39" s="212">
        <v>21</v>
      </c>
      <c r="AP39" s="212">
        <v>0</v>
      </c>
      <c r="AQ39" s="586">
        <f t="shared" si="36"/>
        <v>57</v>
      </c>
      <c r="AR39" s="376">
        <v>64</v>
      </c>
      <c r="AS39" s="212">
        <v>1</v>
      </c>
      <c r="AT39" s="212">
        <v>82</v>
      </c>
      <c r="AU39" s="212">
        <v>0</v>
      </c>
      <c r="AV39" s="586">
        <f t="shared" si="37"/>
        <v>147</v>
      </c>
      <c r="AW39" s="376">
        <v>70</v>
      </c>
      <c r="AX39" s="212">
        <v>70</v>
      </c>
      <c r="AY39" s="212">
        <v>18</v>
      </c>
      <c r="AZ39" s="212">
        <v>0</v>
      </c>
      <c r="BA39" s="586">
        <f t="shared" si="38"/>
        <v>158</v>
      </c>
      <c r="BB39" s="526">
        <v>192</v>
      </c>
      <c r="BC39" s="526">
        <v>0</v>
      </c>
      <c r="BD39" s="526">
        <v>0</v>
      </c>
      <c r="BE39" s="526">
        <v>0</v>
      </c>
      <c r="BF39" s="548">
        <f t="shared" si="39"/>
        <v>192</v>
      </c>
      <c r="BG39" s="376">
        <v>1</v>
      </c>
      <c r="BH39" s="212">
        <v>54</v>
      </c>
      <c r="BI39" s="212">
        <v>245</v>
      </c>
      <c r="BJ39" s="212">
        <v>2</v>
      </c>
      <c r="BK39" s="586">
        <f t="shared" si="40"/>
        <v>302</v>
      </c>
      <c r="BL39" s="376">
        <v>1</v>
      </c>
      <c r="BM39" s="212">
        <v>7</v>
      </c>
      <c r="BN39" s="212">
        <v>87</v>
      </c>
      <c r="BO39" s="212">
        <v>0</v>
      </c>
      <c r="BP39" s="586">
        <f t="shared" si="41"/>
        <v>95</v>
      </c>
      <c r="BQ39" s="376">
        <v>0</v>
      </c>
      <c r="BR39" s="212">
        <v>12</v>
      </c>
      <c r="BS39" s="212">
        <v>0</v>
      </c>
      <c r="BT39" s="212">
        <v>0</v>
      </c>
      <c r="BU39" s="586">
        <f>SUM(BQ39:BT39)</f>
        <v>12</v>
      </c>
      <c r="BV39" s="376">
        <v>37</v>
      </c>
      <c r="BW39" s="212">
        <v>0</v>
      </c>
      <c r="BX39" s="212">
        <v>26</v>
      </c>
      <c r="BY39" s="212">
        <v>0</v>
      </c>
      <c r="BZ39" s="586">
        <f t="shared" si="42"/>
        <v>63</v>
      </c>
      <c r="CA39" s="376">
        <v>69</v>
      </c>
      <c r="CB39" s="212">
        <v>4</v>
      </c>
      <c r="CC39" s="212">
        <v>62</v>
      </c>
      <c r="CD39" s="212">
        <v>0</v>
      </c>
      <c r="CE39" s="586">
        <f t="shared" si="43"/>
        <v>135</v>
      </c>
      <c r="CF39" s="376">
        <v>25</v>
      </c>
      <c r="CG39" s="212">
        <v>30</v>
      </c>
      <c r="CH39" s="212">
        <v>197</v>
      </c>
      <c r="CI39" s="212">
        <v>0</v>
      </c>
      <c r="CJ39" s="586">
        <f t="shared" si="44"/>
        <v>252</v>
      </c>
    </row>
    <row r="40" spans="1:88" ht="20.100000000000001" customHeight="1" x14ac:dyDescent="0.25">
      <c r="A40" s="210">
        <v>44126</v>
      </c>
      <c r="B40" s="788">
        <f t="shared" si="1"/>
        <v>3178</v>
      </c>
      <c r="C40" s="544">
        <f t="shared" si="27"/>
        <v>937</v>
      </c>
      <c r="D40" s="545">
        <f t="shared" si="28"/>
        <v>634</v>
      </c>
      <c r="E40" s="545">
        <f t="shared" si="30"/>
        <v>1563</v>
      </c>
      <c r="F40" s="545">
        <f t="shared" si="31"/>
        <v>43</v>
      </c>
      <c r="G40" s="602">
        <f t="shared" si="32"/>
        <v>1</v>
      </c>
      <c r="H40" s="213">
        <f>26+6+37+50</f>
        <v>119</v>
      </c>
      <c r="I40" s="212">
        <f>10+103+73+97</f>
        <v>283</v>
      </c>
      <c r="J40" s="212">
        <f>17+200+190+195+197</f>
        <v>799</v>
      </c>
      <c r="K40" s="212">
        <v>2</v>
      </c>
      <c r="L40" s="212">
        <v>1</v>
      </c>
      <c r="M40" s="601">
        <f t="shared" si="29"/>
        <v>1204</v>
      </c>
      <c r="N40" s="651">
        <v>0</v>
      </c>
      <c r="O40" s="600">
        <v>0</v>
      </c>
      <c r="P40" s="600">
        <v>0</v>
      </c>
      <c r="Q40" s="600">
        <v>0</v>
      </c>
      <c r="R40" s="586">
        <v>0</v>
      </c>
      <c r="S40" s="376">
        <v>2</v>
      </c>
      <c r="T40" s="212">
        <f>40</f>
        <v>40</v>
      </c>
      <c r="U40" s="212">
        <f>62</f>
        <v>62</v>
      </c>
      <c r="V40" s="212">
        <v>0</v>
      </c>
      <c r="W40" s="586">
        <f t="shared" si="33"/>
        <v>104</v>
      </c>
      <c r="X40" s="212">
        <f>252</f>
        <v>252</v>
      </c>
      <c r="Y40" s="212">
        <f>2</f>
        <v>2</v>
      </c>
      <c r="Z40" s="212">
        <v>1</v>
      </c>
      <c r="AA40" s="212">
        <v>0</v>
      </c>
      <c r="AB40" s="586">
        <f t="shared" si="34"/>
        <v>255</v>
      </c>
      <c r="AC40" s="373"/>
      <c r="AD40" s="211"/>
      <c r="AE40" s="211"/>
      <c r="AF40" s="211"/>
      <c r="AG40" s="531"/>
      <c r="AH40" s="376">
        <v>0</v>
      </c>
      <c r="AI40" s="212">
        <v>33</v>
      </c>
      <c r="AJ40" s="212">
        <v>55</v>
      </c>
      <c r="AK40" s="212">
        <v>41</v>
      </c>
      <c r="AL40" s="586">
        <f t="shared" si="35"/>
        <v>129</v>
      </c>
      <c r="AM40" s="376">
        <v>26</v>
      </c>
      <c r="AN40" s="212">
        <v>23</v>
      </c>
      <c r="AO40" s="212">
        <v>42</v>
      </c>
      <c r="AP40" s="212">
        <v>0</v>
      </c>
      <c r="AQ40" s="586">
        <f t="shared" si="36"/>
        <v>91</v>
      </c>
      <c r="AR40" s="376">
        <v>77</v>
      </c>
      <c r="AS40" s="212">
        <v>0</v>
      </c>
      <c r="AT40" s="212">
        <v>61</v>
      </c>
      <c r="AU40" s="212">
        <v>0</v>
      </c>
      <c r="AV40" s="586">
        <f t="shared" si="37"/>
        <v>138</v>
      </c>
      <c r="AW40" s="376">
        <v>71</v>
      </c>
      <c r="AX40" s="212">
        <v>78</v>
      </c>
      <c r="AY40" s="212">
        <v>19</v>
      </c>
      <c r="AZ40" s="212">
        <v>0</v>
      </c>
      <c r="BA40" s="586">
        <f t="shared" si="38"/>
        <v>168</v>
      </c>
      <c r="BB40" s="526">
        <v>249</v>
      </c>
      <c r="BC40" s="526">
        <v>0</v>
      </c>
      <c r="BD40" s="526">
        <v>3</v>
      </c>
      <c r="BE40" s="526">
        <v>0</v>
      </c>
      <c r="BF40" s="548">
        <f t="shared" si="39"/>
        <v>252</v>
      </c>
      <c r="BG40" s="376">
        <v>2</v>
      </c>
      <c r="BH40" s="212">
        <v>15</v>
      </c>
      <c r="BI40" s="212">
        <v>136</v>
      </c>
      <c r="BJ40" s="212">
        <v>0</v>
      </c>
      <c r="BK40" s="586">
        <f t="shared" si="40"/>
        <v>153</v>
      </c>
      <c r="BL40" s="376">
        <v>3</v>
      </c>
      <c r="BM40" s="212">
        <v>1</v>
      </c>
      <c r="BN40" s="212">
        <v>84</v>
      </c>
      <c r="BO40" s="212">
        <v>0</v>
      </c>
      <c r="BP40" s="586">
        <f t="shared" si="41"/>
        <v>88</v>
      </c>
      <c r="BQ40" s="376">
        <v>1</v>
      </c>
      <c r="BR40" s="212">
        <v>85</v>
      </c>
      <c r="BS40" s="212">
        <v>15</v>
      </c>
      <c r="BT40" s="212">
        <v>0</v>
      </c>
      <c r="BU40" s="586">
        <f>SUM(BQ40:BT40)</f>
        <v>101</v>
      </c>
      <c r="BV40" s="376">
        <v>42</v>
      </c>
      <c r="BW40" s="212">
        <v>35</v>
      </c>
      <c r="BX40" s="212">
        <v>1</v>
      </c>
      <c r="BY40" s="212">
        <v>0</v>
      </c>
      <c r="BZ40" s="586">
        <f t="shared" si="42"/>
        <v>78</v>
      </c>
      <c r="CA40" s="376">
        <f>68</f>
        <v>68</v>
      </c>
      <c r="CB40" s="212">
        <v>6</v>
      </c>
      <c r="CC40" s="212">
        <v>45</v>
      </c>
      <c r="CD40" s="212">
        <v>0</v>
      </c>
      <c r="CE40" s="586">
        <f t="shared" si="43"/>
        <v>119</v>
      </c>
      <c r="CF40" s="376">
        <v>25</v>
      </c>
      <c r="CG40" s="212">
        <v>33</v>
      </c>
      <c r="CH40" s="212">
        <v>240</v>
      </c>
      <c r="CI40" s="212">
        <v>0</v>
      </c>
      <c r="CJ40" s="586">
        <f t="shared" si="44"/>
        <v>298</v>
      </c>
    </row>
    <row r="41" spans="1:88" ht="20.100000000000001" customHeight="1" x14ac:dyDescent="0.25">
      <c r="A41" s="210">
        <v>44127</v>
      </c>
      <c r="B41" s="788">
        <f t="shared" si="1"/>
        <v>2557</v>
      </c>
      <c r="C41" s="544">
        <f t="shared" si="27"/>
        <v>920</v>
      </c>
      <c r="D41" s="545">
        <f t="shared" si="28"/>
        <v>414</v>
      </c>
      <c r="E41" s="545">
        <f t="shared" si="30"/>
        <v>1197</v>
      </c>
      <c r="F41" s="545">
        <f t="shared" si="31"/>
        <v>24</v>
      </c>
      <c r="G41" s="602">
        <f t="shared" ref="G41" si="45">L41</f>
        <v>2</v>
      </c>
      <c r="H41" s="213">
        <f>37+48</f>
        <v>85</v>
      </c>
      <c r="I41" s="212">
        <f>73+92</f>
        <v>165</v>
      </c>
      <c r="J41" s="212">
        <f>95+8+253</f>
        <v>356</v>
      </c>
      <c r="K41" s="212">
        <f>2</f>
        <v>2</v>
      </c>
      <c r="L41" s="212">
        <f>1+1</f>
        <v>2</v>
      </c>
      <c r="M41" s="601">
        <f t="shared" si="29"/>
        <v>610</v>
      </c>
      <c r="N41" s="651">
        <v>0</v>
      </c>
      <c r="O41" s="600">
        <v>0</v>
      </c>
      <c r="P41" s="600">
        <v>0</v>
      </c>
      <c r="Q41" s="600">
        <v>0</v>
      </c>
      <c r="R41" s="586">
        <v>0</v>
      </c>
      <c r="S41" s="376">
        <v>1</v>
      </c>
      <c r="T41" s="212">
        <v>45</v>
      </c>
      <c r="U41" s="212">
        <v>47</v>
      </c>
      <c r="V41" s="212">
        <v>0</v>
      </c>
      <c r="W41" s="586">
        <f t="shared" si="33"/>
        <v>93</v>
      </c>
      <c r="X41" s="212">
        <v>265</v>
      </c>
      <c r="Y41" s="212">
        <v>0</v>
      </c>
      <c r="Z41" s="212">
        <v>8</v>
      </c>
      <c r="AA41" s="212">
        <v>0</v>
      </c>
      <c r="AB41" s="586">
        <f t="shared" si="34"/>
        <v>273</v>
      </c>
      <c r="AC41" s="373"/>
      <c r="AD41" s="211"/>
      <c r="AE41" s="211"/>
      <c r="AF41" s="211"/>
      <c r="AG41" s="531"/>
      <c r="AH41" s="376">
        <v>0</v>
      </c>
      <c r="AI41" s="212">
        <v>25</v>
      </c>
      <c r="AJ41" s="212">
        <v>51</v>
      </c>
      <c r="AK41" s="212">
        <v>22</v>
      </c>
      <c r="AL41" s="586">
        <f t="shared" si="35"/>
        <v>98</v>
      </c>
      <c r="AM41" s="376">
        <v>35</v>
      </c>
      <c r="AN41" s="212">
        <v>38</v>
      </c>
      <c r="AO41" s="212">
        <v>29</v>
      </c>
      <c r="AP41" s="212">
        <v>0</v>
      </c>
      <c r="AQ41" s="586">
        <f t="shared" si="36"/>
        <v>102</v>
      </c>
      <c r="AR41" s="376">
        <v>73</v>
      </c>
      <c r="AS41" s="212">
        <v>0</v>
      </c>
      <c r="AT41" s="212">
        <v>76</v>
      </c>
      <c r="AU41" s="212">
        <v>0</v>
      </c>
      <c r="AV41" s="586">
        <f t="shared" si="37"/>
        <v>149</v>
      </c>
      <c r="AW41" s="376">
        <f>61+2</f>
        <v>63</v>
      </c>
      <c r="AX41" s="212">
        <v>68</v>
      </c>
      <c r="AY41" s="212">
        <v>15</v>
      </c>
      <c r="AZ41" s="212">
        <v>0</v>
      </c>
      <c r="BA41" s="586">
        <f t="shared" si="38"/>
        <v>146</v>
      </c>
      <c r="BB41" s="526">
        <f>252+1</f>
        <v>253</v>
      </c>
      <c r="BC41" s="526">
        <v>1</v>
      </c>
      <c r="BD41" s="526">
        <v>0</v>
      </c>
      <c r="BE41" s="526">
        <v>0</v>
      </c>
      <c r="BF41" s="548">
        <f t="shared" si="39"/>
        <v>254</v>
      </c>
      <c r="BG41" s="376">
        <v>1</v>
      </c>
      <c r="BH41" s="212">
        <v>20</v>
      </c>
      <c r="BI41" s="212">
        <v>131</v>
      </c>
      <c r="BJ41" s="212">
        <v>0</v>
      </c>
      <c r="BK41" s="586">
        <f t="shared" si="40"/>
        <v>152</v>
      </c>
      <c r="BL41" s="376">
        <v>3</v>
      </c>
      <c r="BM41" s="212">
        <v>7</v>
      </c>
      <c r="BN41" s="212">
        <v>106</v>
      </c>
      <c r="BO41" s="212">
        <v>0</v>
      </c>
      <c r="BP41" s="586">
        <f t="shared" si="41"/>
        <v>116</v>
      </c>
      <c r="BQ41" s="376">
        <v>1</v>
      </c>
      <c r="BR41" s="212">
        <v>17</v>
      </c>
      <c r="BS41" s="212">
        <v>1</v>
      </c>
      <c r="BT41" s="212">
        <v>0</v>
      </c>
      <c r="BU41" s="586">
        <f>SUM(BQ41:BS41)</f>
        <v>19</v>
      </c>
      <c r="BV41" s="376">
        <v>44</v>
      </c>
      <c r="BW41" s="212">
        <v>0</v>
      </c>
      <c r="BX41" s="212">
        <v>36</v>
      </c>
      <c r="BY41" s="212">
        <v>0</v>
      </c>
      <c r="BZ41" s="586">
        <f t="shared" si="42"/>
        <v>80</v>
      </c>
      <c r="CA41" s="376">
        <f>55+3</f>
        <v>58</v>
      </c>
      <c r="CB41" s="212">
        <f>5+0</f>
        <v>5</v>
      </c>
      <c r="CC41" s="212">
        <v>69</v>
      </c>
      <c r="CD41" s="212">
        <v>0</v>
      </c>
      <c r="CE41" s="586">
        <f t="shared" si="43"/>
        <v>132</v>
      </c>
      <c r="CF41" s="376">
        <v>38</v>
      </c>
      <c r="CG41" s="212">
        <v>23</v>
      </c>
      <c r="CH41" s="212">
        <v>272</v>
      </c>
      <c r="CI41" s="212">
        <v>0</v>
      </c>
      <c r="CJ41" s="586">
        <f t="shared" si="44"/>
        <v>333</v>
      </c>
    </row>
    <row r="42" spans="1:88" ht="20.100000000000001" customHeight="1" x14ac:dyDescent="0.25">
      <c r="A42" s="210">
        <v>44128</v>
      </c>
      <c r="B42" s="788">
        <f t="shared" si="1"/>
        <v>4001</v>
      </c>
      <c r="C42" s="544">
        <f t="shared" si="27"/>
        <v>1307</v>
      </c>
      <c r="D42" s="545">
        <f t="shared" si="28"/>
        <v>929</v>
      </c>
      <c r="E42" s="545">
        <f t="shared" si="30"/>
        <v>1681</v>
      </c>
      <c r="F42" s="545">
        <f t="shared" si="31"/>
        <v>84</v>
      </c>
      <c r="G42" s="602">
        <f t="shared" ref="G42" si="46">L42</f>
        <v>0</v>
      </c>
      <c r="H42" s="213">
        <f>21+22</f>
        <v>43</v>
      </c>
      <c r="I42" s="212">
        <f>115+62</f>
        <v>177</v>
      </c>
      <c r="J42" s="212">
        <f>295+175</f>
        <v>470</v>
      </c>
      <c r="K42" s="212">
        <f>12+1</f>
        <v>13</v>
      </c>
      <c r="L42" s="212">
        <v>0</v>
      </c>
      <c r="M42" s="601">
        <f t="shared" si="29"/>
        <v>703</v>
      </c>
      <c r="N42" s="651">
        <v>1</v>
      </c>
      <c r="O42" s="600">
        <v>1</v>
      </c>
      <c r="P42" s="600">
        <v>0</v>
      </c>
      <c r="Q42" s="600">
        <v>0</v>
      </c>
      <c r="R42" s="586">
        <v>2</v>
      </c>
      <c r="S42" s="376">
        <v>0</v>
      </c>
      <c r="T42" s="212">
        <v>107</v>
      </c>
      <c r="U42" s="212">
        <v>128</v>
      </c>
      <c r="V42" s="212">
        <v>0</v>
      </c>
      <c r="W42" s="586">
        <f t="shared" si="33"/>
        <v>235</v>
      </c>
      <c r="X42" s="212">
        <v>404</v>
      </c>
      <c r="Y42" s="212">
        <v>2</v>
      </c>
      <c r="Z42" s="212">
        <v>1</v>
      </c>
      <c r="AA42" s="212">
        <v>0</v>
      </c>
      <c r="AB42" s="586">
        <f t="shared" si="34"/>
        <v>407</v>
      </c>
      <c r="AC42" s="376">
        <v>0</v>
      </c>
      <c r="AD42" s="212">
        <v>172</v>
      </c>
      <c r="AE42" s="212">
        <v>10</v>
      </c>
      <c r="AF42" s="212">
        <v>0</v>
      </c>
      <c r="AG42" s="586">
        <f>SUM(AC42:AF42)</f>
        <v>182</v>
      </c>
      <c r="AH42" s="376">
        <v>3</v>
      </c>
      <c r="AI42" s="212">
        <v>63</v>
      </c>
      <c r="AJ42" s="212">
        <v>89</v>
      </c>
      <c r="AK42" s="212">
        <v>62</v>
      </c>
      <c r="AL42" s="586">
        <f t="shared" si="35"/>
        <v>217</v>
      </c>
      <c r="AM42" s="376">
        <v>41</v>
      </c>
      <c r="AN42" s="212">
        <v>44</v>
      </c>
      <c r="AO42" s="212">
        <v>74</v>
      </c>
      <c r="AP42" s="212">
        <v>0</v>
      </c>
      <c r="AQ42" s="586">
        <f t="shared" si="36"/>
        <v>159</v>
      </c>
      <c r="AR42" s="376">
        <v>115</v>
      </c>
      <c r="AS42" s="212">
        <v>7</v>
      </c>
      <c r="AT42" s="212">
        <v>76</v>
      </c>
      <c r="AU42" s="212">
        <v>0</v>
      </c>
      <c r="AV42" s="586">
        <f t="shared" si="37"/>
        <v>198</v>
      </c>
      <c r="AW42" s="376">
        <v>119</v>
      </c>
      <c r="AX42" s="212">
        <v>136</v>
      </c>
      <c r="AY42" s="212">
        <v>38</v>
      </c>
      <c r="AZ42" s="212">
        <v>0</v>
      </c>
      <c r="BA42" s="586">
        <f t="shared" si="38"/>
        <v>293</v>
      </c>
      <c r="BB42" s="526">
        <v>358</v>
      </c>
      <c r="BC42" s="526">
        <v>1</v>
      </c>
      <c r="BD42" s="526">
        <v>2</v>
      </c>
      <c r="BE42" s="526">
        <v>0</v>
      </c>
      <c r="BF42" s="548">
        <f t="shared" si="39"/>
        <v>361</v>
      </c>
      <c r="BG42" s="376">
        <v>0</v>
      </c>
      <c r="BH42" s="212">
        <v>45</v>
      </c>
      <c r="BI42" s="212">
        <v>179</v>
      </c>
      <c r="BJ42" s="212">
        <v>8</v>
      </c>
      <c r="BK42" s="586">
        <f t="shared" si="40"/>
        <v>232</v>
      </c>
      <c r="BL42" s="376">
        <v>4</v>
      </c>
      <c r="BM42" s="212">
        <v>3</v>
      </c>
      <c r="BN42" s="212">
        <v>111</v>
      </c>
      <c r="BO42" s="212">
        <v>0</v>
      </c>
      <c r="BP42" s="586">
        <f t="shared" si="41"/>
        <v>118</v>
      </c>
      <c r="BQ42" s="376">
        <v>0</v>
      </c>
      <c r="BR42" s="212">
        <v>128</v>
      </c>
      <c r="BS42" s="212">
        <v>34</v>
      </c>
      <c r="BT42" s="212">
        <v>1</v>
      </c>
      <c r="BU42" s="586">
        <f>SUM(BQ42:BT42)</f>
        <v>163</v>
      </c>
      <c r="BV42" s="376">
        <v>68</v>
      </c>
      <c r="BW42" s="212">
        <v>3</v>
      </c>
      <c r="BX42" s="212">
        <v>78</v>
      </c>
      <c r="BY42" s="212">
        <v>0</v>
      </c>
      <c r="BZ42" s="586">
        <f t="shared" si="42"/>
        <v>149</v>
      </c>
      <c r="CA42" s="376">
        <v>96</v>
      </c>
      <c r="CB42" s="212">
        <v>9</v>
      </c>
      <c r="CC42" s="212">
        <v>84</v>
      </c>
      <c r="CD42" s="212">
        <v>0</v>
      </c>
      <c r="CE42" s="586">
        <f t="shared" si="43"/>
        <v>189</v>
      </c>
      <c r="CF42" s="376">
        <v>55</v>
      </c>
      <c r="CG42" s="212">
        <v>31</v>
      </c>
      <c r="CH42" s="212">
        <v>307</v>
      </c>
      <c r="CI42" s="212">
        <v>0</v>
      </c>
      <c r="CJ42" s="586">
        <f t="shared" si="44"/>
        <v>393</v>
      </c>
    </row>
    <row r="43" spans="1:88" ht="20.100000000000001" customHeight="1" x14ac:dyDescent="0.25">
      <c r="A43" s="352">
        <v>44129</v>
      </c>
      <c r="B43" s="789"/>
      <c r="C43" s="558"/>
      <c r="D43" s="559"/>
      <c r="E43" s="559"/>
      <c r="F43" s="559"/>
      <c r="G43" s="712"/>
      <c r="H43" s="214"/>
      <c r="I43" s="211"/>
      <c r="J43" s="211"/>
      <c r="K43" s="211"/>
      <c r="L43" s="211"/>
      <c r="M43" s="493"/>
      <c r="N43" s="666"/>
      <c r="O43" s="667"/>
      <c r="P43" s="667"/>
      <c r="Q43" s="667"/>
      <c r="R43" s="668"/>
      <c r="S43" s="373"/>
      <c r="T43" s="211"/>
      <c r="U43" s="211"/>
      <c r="V43" s="211"/>
      <c r="W43" s="531"/>
      <c r="X43" s="211"/>
      <c r="Y43" s="211"/>
      <c r="Z43" s="211"/>
      <c r="AA43" s="211"/>
      <c r="AB43" s="531"/>
      <c r="AC43" s="373"/>
      <c r="AD43" s="211"/>
      <c r="AE43" s="211"/>
      <c r="AF43" s="211"/>
      <c r="AG43" s="531"/>
      <c r="AH43" s="373"/>
      <c r="AI43" s="211"/>
      <c r="AJ43" s="211"/>
      <c r="AK43" s="211"/>
      <c r="AL43" s="531"/>
      <c r="AM43" s="373"/>
      <c r="AN43" s="211"/>
      <c r="AO43" s="211"/>
      <c r="AP43" s="211"/>
      <c r="AQ43" s="531"/>
      <c r="AR43" s="373"/>
      <c r="AS43" s="211"/>
      <c r="AT43" s="211"/>
      <c r="AU43" s="211"/>
      <c r="AV43" s="531"/>
      <c r="AW43" s="373"/>
      <c r="AX43" s="211"/>
      <c r="AY43" s="211"/>
      <c r="AZ43" s="211"/>
      <c r="BA43" s="531"/>
      <c r="BB43" s="530"/>
      <c r="BC43" s="530"/>
      <c r="BD43" s="530"/>
      <c r="BE43" s="530"/>
      <c r="BF43" s="530"/>
      <c r="BG43" s="373"/>
      <c r="BH43" s="211"/>
      <c r="BI43" s="211"/>
      <c r="BJ43" s="211"/>
      <c r="BK43" s="531"/>
      <c r="BL43" s="373"/>
      <c r="BM43" s="211"/>
      <c r="BN43" s="211"/>
      <c r="BO43" s="211"/>
      <c r="BP43" s="531"/>
      <c r="BQ43" s="373"/>
      <c r="BR43" s="211"/>
      <c r="BS43" s="211"/>
      <c r="BT43" s="211"/>
      <c r="BU43" s="531"/>
      <c r="BV43" s="373"/>
      <c r="BW43" s="211"/>
      <c r="BX43" s="211"/>
      <c r="BY43" s="211"/>
      <c r="BZ43" s="531"/>
      <c r="CA43" s="373"/>
      <c r="CB43" s="211"/>
      <c r="CC43" s="211"/>
      <c r="CD43" s="211"/>
      <c r="CE43" s="531"/>
      <c r="CF43" s="373"/>
      <c r="CG43" s="211"/>
      <c r="CH43" s="211"/>
      <c r="CI43" s="211"/>
      <c r="CJ43" s="531"/>
    </row>
    <row r="44" spans="1:88" ht="20.100000000000001" customHeight="1" x14ac:dyDescent="0.25">
      <c r="A44" s="210">
        <v>44130</v>
      </c>
      <c r="B44" s="788">
        <f t="shared" si="1"/>
        <v>2742</v>
      </c>
      <c r="C44" s="544">
        <f t="shared" si="27"/>
        <v>799</v>
      </c>
      <c r="D44" s="545">
        <f t="shared" si="28"/>
        <v>662</v>
      </c>
      <c r="E44" s="545">
        <f t="shared" si="30"/>
        <v>1246</v>
      </c>
      <c r="F44" s="545">
        <f t="shared" si="31"/>
        <v>35</v>
      </c>
      <c r="G44" s="602">
        <f t="shared" ref="G44" si="47">L44</f>
        <v>0</v>
      </c>
      <c r="H44" s="213">
        <f>121+34</f>
        <v>155</v>
      </c>
      <c r="I44" s="212">
        <f>218+106</f>
        <v>324</v>
      </c>
      <c r="J44" s="212">
        <v>495</v>
      </c>
      <c r="K44" s="212">
        <v>0</v>
      </c>
      <c r="L44" s="212">
        <v>0</v>
      </c>
      <c r="M44" s="601">
        <f t="shared" ref="M44:M49" si="48">SUM(H44:L44)</f>
        <v>974</v>
      </c>
      <c r="N44" s="651">
        <v>0</v>
      </c>
      <c r="O44" s="600">
        <v>0</v>
      </c>
      <c r="P44" s="600">
        <v>0</v>
      </c>
      <c r="Q44" s="600">
        <v>0</v>
      </c>
      <c r="R44" s="665">
        <f>SUM(N44:Q44)</f>
        <v>0</v>
      </c>
      <c r="S44" s="376">
        <v>0</v>
      </c>
      <c r="T44" s="441">
        <v>50</v>
      </c>
      <c r="U44" s="212">
        <v>50</v>
      </c>
      <c r="V44" s="212">
        <v>0</v>
      </c>
      <c r="W44" s="586">
        <f t="shared" ref="W44:W49" si="49">SUM(S44:V44)</f>
        <v>100</v>
      </c>
      <c r="X44" s="212">
        <v>257</v>
      </c>
      <c r="Y44" s="212">
        <v>2</v>
      </c>
      <c r="Z44" s="212">
        <v>16</v>
      </c>
      <c r="AA44" s="212">
        <v>0</v>
      </c>
      <c r="AB44" s="586">
        <f t="shared" ref="AB44:AB49" si="50">SUM(X44:AA44)</f>
        <v>275</v>
      </c>
      <c r="AC44" s="373"/>
      <c r="AD44" s="211"/>
      <c r="AE44" s="211"/>
      <c r="AF44" s="211"/>
      <c r="AG44" s="531"/>
      <c r="AH44" s="376">
        <v>1</v>
      </c>
      <c r="AI44" s="212">
        <v>35</v>
      </c>
      <c r="AJ44" s="212">
        <v>49</v>
      </c>
      <c r="AK44" s="212">
        <v>34</v>
      </c>
      <c r="AL44" s="586">
        <f t="shared" ref="AL44:AL49" si="51">SUM(AH44:AK44)</f>
        <v>119</v>
      </c>
      <c r="AM44" s="376">
        <v>10</v>
      </c>
      <c r="AN44" s="212">
        <v>22</v>
      </c>
      <c r="AO44" s="212">
        <v>13</v>
      </c>
      <c r="AP44" s="212">
        <v>0</v>
      </c>
      <c r="AQ44" s="586">
        <f t="shared" ref="AQ44:AQ49" si="52">SUM(AM44:AP44)</f>
        <v>45</v>
      </c>
      <c r="AR44" s="376">
        <v>58</v>
      </c>
      <c r="AS44" s="212">
        <v>0</v>
      </c>
      <c r="AT44" s="212">
        <v>57</v>
      </c>
      <c r="AU44" s="212">
        <v>0</v>
      </c>
      <c r="AV44" s="586">
        <v>115</v>
      </c>
      <c r="AW44" s="376">
        <v>58</v>
      </c>
      <c r="AX44" s="212">
        <v>70</v>
      </c>
      <c r="AY44" s="212">
        <v>25</v>
      </c>
      <c r="AZ44" s="212">
        <v>0</v>
      </c>
      <c r="BA44" s="586">
        <f t="shared" ref="BA44:BA49" si="53">SUM(AW44:AZ44)</f>
        <v>153</v>
      </c>
      <c r="BB44" s="526">
        <v>155</v>
      </c>
      <c r="BC44" s="526">
        <v>1</v>
      </c>
      <c r="BD44" s="526">
        <v>1</v>
      </c>
      <c r="BE44" s="526">
        <v>0</v>
      </c>
      <c r="BF44" s="548">
        <f t="shared" ref="BF44:BF49" si="54">SUM(BB44:BE44)</f>
        <v>157</v>
      </c>
      <c r="BG44" s="376">
        <v>0</v>
      </c>
      <c r="BH44" s="212">
        <v>43</v>
      </c>
      <c r="BI44" s="212">
        <v>136</v>
      </c>
      <c r="BJ44" s="212">
        <v>1</v>
      </c>
      <c r="BK44" s="586">
        <f t="shared" ref="BK44:BK49" si="55">SUM(BG44:BJ44)</f>
        <v>180</v>
      </c>
      <c r="BL44" s="376">
        <v>4</v>
      </c>
      <c r="BM44" s="212">
        <v>3</v>
      </c>
      <c r="BN44" s="212">
        <v>84</v>
      </c>
      <c r="BO44" s="212">
        <v>0</v>
      </c>
      <c r="BP44" s="586">
        <f t="shared" ref="BP44:BP49" si="56">SUM(BL44:BO44)</f>
        <v>91</v>
      </c>
      <c r="BQ44" s="376">
        <v>0</v>
      </c>
      <c r="BR44" s="212">
        <v>76</v>
      </c>
      <c r="BS44" s="212">
        <v>24</v>
      </c>
      <c r="BT44" s="212">
        <v>0</v>
      </c>
      <c r="BU44" s="586">
        <f t="shared" ref="BU44:BU49" si="57">SUM(BQ44:BT44)</f>
        <v>100</v>
      </c>
      <c r="BV44" s="376">
        <v>31</v>
      </c>
      <c r="BW44" s="212">
        <v>0</v>
      </c>
      <c r="BX44" s="212">
        <v>31</v>
      </c>
      <c r="BY44" s="212">
        <v>0</v>
      </c>
      <c r="BZ44" s="586">
        <f t="shared" ref="BZ44:BZ49" si="58">SUM(BV44:BY44)</f>
        <v>62</v>
      </c>
      <c r="CA44" s="376">
        <v>48</v>
      </c>
      <c r="CB44" s="212">
        <v>7</v>
      </c>
      <c r="CC44" s="212">
        <v>56</v>
      </c>
      <c r="CD44" s="212">
        <v>0</v>
      </c>
      <c r="CE44" s="586">
        <f t="shared" ref="CE44:CE49" si="59">SUM(CA44:CD44)</f>
        <v>111</v>
      </c>
      <c r="CF44" s="376">
        <v>22</v>
      </c>
      <c r="CG44" s="212">
        <v>29</v>
      </c>
      <c r="CH44" s="212">
        <v>209</v>
      </c>
      <c r="CI44" s="212">
        <v>0</v>
      </c>
      <c r="CJ44" s="586">
        <f t="shared" ref="CJ44:CJ49" si="60">SUM(CF44:CI44)</f>
        <v>260</v>
      </c>
    </row>
    <row r="45" spans="1:88" ht="20.100000000000001" customHeight="1" x14ac:dyDescent="0.25">
      <c r="A45" s="210">
        <v>44131</v>
      </c>
      <c r="B45" s="788">
        <f t="shared" si="1"/>
        <v>3374</v>
      </c>
      <c r="C45" s="544">
        <f t="shared" si="27"/>
        <v>980</v>
      </c>
      <c r="D45" s="545">
        <f t="shared" si="28"/>
        <v>552</v>
      </c>
      <c r="E45" s="545">
        <f t="shared" si="30"/>
        <v>1767</v>
      </c>
      <c r="F45" s="545">
        <f t="shared" si="31"/>
        <v>73</v>
      </c>
      <c r="G45" s="602">
        <f t="shared" ref="G45" si="61">L45</f>
        <v>2</v>
      </c>
      <c r="H45" s="213">
        <f>29+39</f>
        <v>68</v>
      </c>
      <c r="I45" s="212">
        <f>120+92</f>
        <v>212</v>
      </c>
      <c r="J45" s="212">
        <f>270+272+241</f>
        <v>783</v>
      </c>
      <c r="K45" s="212">
        <f>8+2+1</f>
        <v>11</v>
      </c>
      <c r="L45" s="212">
        <v>2</v>
      </c>
      <c r="M45" s="601">
        <f t="shared" si="48"/>
        <v>1076</v>
      </c>
      <c r="N45" s="651">
        <v>0</v>
      </c>
      <c r="O45" s="600">
        <v>0</v>
      </c>
      <c r="P45" s="600">
        <v>0</v>
      </c>
      <c r="Q45" s="600">
        <v>0</v>
      </c>
      <c r="R45" s="665">
        <v>0</v>
      </c>
      <c r="S45" s="376">
        <v>1</v>
      </c>
      <c r="T45" s="212">
        <v>48</v>
      </c>
      <c r="U45" s="212">
        <v>31</v>
      </c>
      <c r="V45" s="212">
        <v>0</v>
      </c>
      <c r="W45" s="586">
        <f t="shared" si="49"/>
        <v>80</v>
      </c>
      <c r="X45" s="212">
        <v>206</v>
      </c>
      <c r="Y45" s="212">
        <v>0</v>
      </c>
      <c r="Z45" s="212">
        <v>0</v>
      </c>
      <c r="AA45" s="212">
        <v>0</v>
      </c>
      <c r="AB45" s="586">
        <f t="shared" si="50"/>
        <v>206</v>
      </c>
      <c r="AC45" s="373"/>
      <c r="AD45" s="211"/>
      <c r="AE45" s="211"/>
      <c r="AF45" s="211"/>
      <c r="AG45" s="531"/>
      <c r="AH45" s="376">
        <v>2</v>
      </c>
      <c r="AI45" s="212">
        <v>54</v>
      </c>
      <c r="AJ45" s="212">
        <v>66</v>
      </c>
      <c r="AK45" s="212">
        <v>54</v>
      </c>
      <c r="AL45" s="586">
        <f t="shared" si="51"/>
        <v>176</v>
      </c>
      <c r="AM45" s="376">
        <v>53</v>
      </c>
      <c r="AN45" s="212">
        <v>41</v>
      </c>
      <c r="AO45" s="212">
        <v>68</v>
      </c>
      <c r="AP45" s="212">
        <v>0</v>
      </c>
      <c r="AQ45" s="586">
        <f t="shared" si="52"/>
        <v>162</v>
      </c>
      <c r="AR45" s="376">
        <v>85</v>
      </c>
      <c r="AS45" s="212">
        <v>1</v>
      </c>
      <c r="AT45" s="212">
        <v>77</v>
      </c>
      <c r="AU45" s="212">
        <v>0</v>
      </c>
      <c r="AV45" s="586">
        <f>SUM(AR45:AU45)</f>
        <v>163</v>
      </c>
      <c r="AW45" s="376">
        <v>85</v>
      </c>
      <c r="AX45" s="212">
        <v>90</v>
      </c>
      <c r="AY45" s="212">
        <v>33</v>
      </c>
      <c r="AZ45" s="212">
        <v>0</v>
      </c>
      <c r="BA45" s="586">
        <f t="shared" si="53"/>
        <v>208</v>
      </c>
      <c r="BB45" s="526">
        <f>272+1</f>
        <v>273</v>
      </c>
      <c r="BC45" s="526">
        <v>0</v>
      </c>
      <c r="BD45" s="526">
        <v>0</v>
      </c>
      <c r="BE45" s="526">
        <v>0</v>
      </c>
      <c r="BF45" s="548">
        <f t="shared" si="54"/>
        <v>273</v>
      </c>
      <c r="BG45" s="376">
        <v>0</v>
      </c>
      <c r="BH45" s="212">
        <v>39</v>
      </c>
      <c r="BI45" s="212">
        <v>149</v>
      </c>
      <c r="BJ45" s="212">
        <v>7</v>
      </c>
      <c r="BK45" s="586">
        <f t="shared" si="55"/>
        <v>195</v>
      </c>
      <c r="BL45" s="376">
        <v>5</v>
      </c>
      <c r="BM45" s="212">
        <v>1</v>
      </c>
      <c r="BN45" s="212">
        <v>132</v>
      </c>
      <c r="BO45" s="212">
        <v>0</v>
      </c>
      <c r="BP45" s="586">
        <f t="shared" si="56"/>
        <v>138</v>
      </c>
      <c r="BQ45" s="376">
        <v>0</v>
      </c>
      <c r="BR45" s="212">
        <v>40</v>
      </c>
      <c r="BS45" s="212">
        <v>14</v>
      </c>
      <c r="BT45" s="212">
        <v>0</v>
      </c>
      <c r="BU45" s="586">
        <f t="shared" si="57"/>
        <v>54</v>
      </c>
      <c r="BV45" s="376">
        <v>87</v>
      </c>
      <c r="BW45" s="212">
        <v>0</v>
      </c>
      <c r="BX45" s="212">
        <v>49</v>
      </c>
      <c r="BY45" s="212">
        <v>0</v>
      </c>
      <c r="BZ45" s="586">
        <f t="shared" si="58"/>
        <v>136</v>
      </c>
      <c r="CA45" s="376">
        <v>71</v>
      </c>
      <c r="CB45" s="212">
        <v>8</v>
      </c>
      <c r="CC45" s="212">
        <v>90</v>
      </c>
      <c r="CD45" s="212">
        <v>0</v>
      </c>
      <c r="CE45" s="586">
        <f t="shared" si="59"/>
        <v>169</v>
      </c>
      <c r="CF45" s="376">
        <v>44</v>
      </c>
      <c r="CG45" s="212">
        <v>18</v>
      </c>
      <c r="CH45" s="212">
        <v>275</v>
      </c>
      <c r="CI45" s="212">
        <v>1</v>
      </c>
      <c r="CJ45" s="586">
        <f t="shared" si="60"/>
        <v>338</v>
      </c>
    </row>
    <row r="46" spans="1:88" ht="20.100000000000001" customHeight="1" x14ac:dyDescent="0.25">
      <c r="A46" s="210">
        <v>44132</v>
      </c>
      <c r="B46" s="788">
        <f t="shared" si="1"/>
        <v>3547</v>
      </c>
      <c r="C46" s="544">
        <f t="shared" si="27"/>
        <v>1170</v>
      </c>
      <c r="D46" s="545">
        <f t="shared" si="28"/>
        <v>728</v>
      </c>
      <c r="E46" s="545">
        <f t="shared" si="30"/>
        <v>1582</v>
      </c>
      <c r="F46" s="545">
        <f t="shared" si="31"/>
        <v>67</v>
      </c>
      <c r="G46" s="602">
        <f t="shared" ref="G46:G47" si="62">L46</f>
        <v>0</v>
      </c>
      <c r="H46" s="213">
        <f>47+38</f>
        <v>85</v>
      </c>
      <c r="I46" s="212">
        <f>149+98</f>
        <v>247</v>
      </c>
      <c r="J46" s="212">
        <f>283+266</f>
        <v>549</v>
      </c>
      <c r="K46" s="212">
        <f>6+2</f>
        <v>8</v>
      </c>
      <c r="L46" s="212">
        <v>0</v>
      </c>
      <c r="M46" s="601">
        <f t="shared" si="48"/>
        <v>889</v>
      </c>
      <c r="N46" s="651">
        <v>0</v>
      </c>
      <c r="O46" s="600">
        <v>0</v>
      </c>
      <c r="P46" s="600">
        <v>0</v>
      </c>
      <c r="Q46" s="600">
        <v>0</v>
      </c>
      <c r="R46" s="665">
        <v>0</v>
      </c>
      <c r="S46" s="376">
        <v>4</v>
      </c>
      <c r="T46" s="212">
        <v>54</v>
      </c>
      <c r="U46" s="212">
        <v>108</v>
      </c>
      <c r="V46" s="212">
        <v>0</v>
      </c>
      <c r="W46" s="586">
        <f t="shared" si="49"/>
        <v>166</v>
      </c>
      <c r="X46" s="212">
        <v>423</v>
      </c>
      <c r="Y46" s="212">
        <v>14</v>
      </c>
      <c r="Z46" s="212">
        <v>4</v>
      </c>
      <c r="AA46" s="212">
        <v>0</v>
      </c>
      <c r="AB46" s="586">
        <f t="shared" si="50"/>
        <v>441</v>
      </c>
      <c r="AC46" s="373"/>
      <c r="AD46" s="211"/>
      <c r="AE46" s="211"/>
      <c r="AF46" s="211"/>
      <c r="AG46" s="531"/>
      <c r="AH46" s="376">
        <v>1</v>
      </c>
      <c r="AI46" s="212">
        <v>73</v>
      </c>
      <c r="AJ46" s="212">
        <v>105</v>
      </c>
      <c r="AK46" s="212">
        <v>54</v>
      </c>
      <c r="AL46" s="586">
        <f t="shared" si="51"/>
        <v>233</v>
      </c>
      <c r="AM46" s="376">
        <v>29</v>
      </c>
      <c r="AN46" s="212">
        <v>9</v>
      </c>
      <c r="AO46" s="212">
        <v>47</v>
      </c>
      <c r="AP46" s="212">
        <v>0</v>
      </c>
      <c r="AQ46" s="586">
        <f t="shared" si="52"/>
        <v>85</v>
      </c>
      <c r="AR46" s="376">
        <v>59</v>
      </c>
      <c r="AS46" s="212">
        <v>60</v>
      </c>
      <c r="AT46" s="212">
        <v>4</v>
      </c>
      <c r="AU46" s="212">
        <v>0</v>
      </c>
      <c r="AV46" s="586">
        <f>SUM(AR46:AU46)</f>
        <v>123</v>
      </c>
      <c r="AW46" s="376">
        <v>62</v>
      </c>
      <c r="AX46" s="212">
        <v>74</v>
      </c>
      <c r="AY46" s="212">
        <v>28</v>
      </c>
      <c r="AZ46" s="212">
        <v>0</v>
      </c>
      <c r="BA46" s="586">
        <f t="shared" si="53"/>
        <v>164</v>
      </c>
      <c r="BB46" s="526">
        <v>316</v>
      </c>
      <c r="BC46" s="526">
        <v>5</v>
      </c>
      <c r="BD46" s="526">
        <v>2</v>
      </c>
      <c r="BE46" s="526">
        <v>0</v>
      </c>
      <c r="BF46" s="548">
        <f t="shared" si="54"/>
        <v>323</v>
      </c>
      <c r="BG46" s="376">
        <v>3</v>
      </c>
      <c r="BH46" s="212">
        <v>47</v>
      </c>
      <c r="BI46" s="212">
        <v>228</v>
      </c>
      <c r="BJ46" s="212">
        <v>5</v>
      </c>
      <c r="BK46" s="586">
        <f t="shared" si="55"/>
        <v>283</v>
      </c>
      <c r="BL46" s="376">
        <v>0</v>
      </c>
      <c r="BM46" s="212">
        <v>3</v>
      </c>
      <c r="BN46" s="212">
        <v>118</v>
      </c>
      <c r="BO46" s="212">
        <v>0</v>
      </c>
      <c r="BP46" s="586">
        <f t="shared" si="56"/>
        <v>121</v>
      </c>
      <c r="BQ46" s="376">
        <v>5</v>
      </c>
      <c r="BR46" s="212">
        <v>109</v>
      </c>
      <c r="BS46" s="212">
        <v>16</v>
      </c>
      <c r="BT46" s="212">
        <v>0</v>
      </c>
      <c r="BU46" s="586">
        <f t="shared" si="57"/>
        <v>130</v>
      </c>
      <c r="BV46" s="376">
        <v>73</v>
      </c>
      <c r="BW46" s="212">
        <v>7</v>
      </c>
      <c r="BX46" s="212">
        <v>49</v>
      </c>
      <c r="BY46" s="212">
        <v>0</v>
      </c>
      <c r="BZ46" s="586">
        <f t="shared" si="58"/>
        <v>129</v>
      </c>
      <c r="CA46" s="376">
        <v>65</v>
      </c>
      <c r="CB46" s="212">
        <v>9</v>
      </c>
      <c r="CC46" s="212">
        <v>79</v>
      </c>
      <c r="CD46" s="212">
        <v>0</v>
      </c>
      <c r="CE46" s="586">
        <f t="shared" si="59"/>
        <v>153</v>
      </c>
      <c r="CF46" s="376">
        <v>45</v>
      </c>
      <c r="CG46" s="212">
        <v>17</v>
      </c>
      <c r="CH46" s="212">
        <v>245</v>
      </c>
      <c r="CI46" s="212">
        <v>0</v>
      </c>
      <c r="CJ46" s="586">
        <f t="shared" si="60"/>
        <v>307</v>
      </c>
    </row>
    <row r="47" spans="1:88" ht="20.100000000000001" customHeight="1" x14ac:dyDescent="0.25">
      <c r="A47" s="210">
        <v>44133</v>
      </c>
      <c r="B47" s="788">
        <f t="shared" si="1"/>
        <v>3108</v>
      </c>
      <c r="C47" s="544">
        <f t="shared" si="27"/>
        <v>1043</v>
      </c>
      <c r="D47" s="545">
        <f t="shared" si="28"/>
        <v>589</v>
      </c>
      <c r="E47" s="545">
        <f t="shared" si="30"/>
        <v>1431</v>
      </c>
      <c r="F47" s="545">
        <f t="shared" si="31"/>
        <v>45</v>
      </c>
      <c r="G47" s="602">
        <f t="shared" si="62"/>
        <v>0</v>
      </c>
      <c r="H47" s="213">
        <f>50+40</f>
        <v>90</v>
      </c>
      <c r="I47" s="212">
        <f>160+93</f>
        <v>253</v>
      </c>
      <c r="J47" s="212">
        <f>298+235</f>
        <v>533</v>
      </c>
      <c r="K47" s="212">
        <f>5</f>
        <v>5</v>
      </c>
      <c r="L47" s="212">
        <v>0</v>
      </c>
      <c r="M47" s="601">
        <f t="shared" si="48"/>
        <v>881</v>
      </c>
      <c r="N47" s="651">
        <v>0</v>
      </c>
      <c r="O47" s="600">
        <v>0</v>
      </c>
      <c r="P47" s="600">
        <v>0</v>
      </c>
      <c r="Q47" s="600">
        <v>0</v>
      </c>
      <c r="R47" s="665">
        <v>0</v>
      </c>
      <c r="S47" s="376">
        <v>2</v>
      </c>
      <c r="T47" s="212">
        <v>22</v>
      </c>
      <c r="U47" s="212">
        <v>34</v>
      </c>
      <c r="V47" s="212">
        <v>0</v>
      </c>
      <c r="W47" s="586">
        <f t="shared" si="49"/>
        <v>58</v>
      </c>
      <c r="X47" s="212">
        <v>316</v>
      </c>
      <c r="Y47" s="212">
        <v>1</v>
      </c>
      <c r="Z47" s="212">
        <v>6</v>
      </c>
      <c r="AA47" s="212">
        <v>0</v>
      </c>
      <c r="AB47" s="586">
        <f t="shared" si="50"/>
        <v>323</v>
      </c>
      <c r="AC47" s="373"/>
      <c r="AD47" s="211"/>
      <c r="AE47" s="211"/>
      <c r="AF47" s="211"/>
      <c r="AG47" s="531"/>
      <c r="AH47" s="376">
        <v>1</v>
      </c>
      <c r="AI47" s="212">
        <v>62</v>
      </c>
      <c r="AJ47" s="212">
        <v>105</v>
      </c>
      <c r="AK47" s="212">
        <v>39</v>
      </c>
      <c r="AL47" s="586">
        <f t="shared" si="51"/>
        <v>207</v>
      </c>
      <c r="AM47" s="376">
        <v>52</v>
      </c>
      <c r="AN47" s="212">
        <v>42</v>
      </c>
      <c r="AO47" s="212">
        <v>50</v>
      </c>
      <c r="AP47" s="212">
        <v>0</v>
      </c>
      <c r="AQ47" s="586">
        <f t="shared" si="52"/>
        <v>144</v>
      </c>
      <c r="AR47" s="376">
        <v>53</v>
      </c>
      <c r="AS47" s="212">
        <v>1</v>
      </c>
      <c r="AT47" s="212">
        <v>64</v>
      </c>
      <c r="AU47" s="212">
        <v>0</v>
      </c>
      <c r="AV47" s="586">
        <f>SUM(AR47:AU47)</f>
        <v>118</v>
      </c>
      <c r="AW47" s="376">
        <v>76</v>
      </c>
      <c r="AX47" s="212">
        <v>80</v>
      </c>
      <c r="AY47" s="212">
        <v>28</v>
      </c>
      <c r="AZ47" s="212">
        <v>0</v>
      </c>
      <c r="BA47" s="586">
        <f t="shared" si="53"/>
        <v>184</v>
      </c>
      <c r="BB47" s="526">
        <v>281</v>
      </c>
      <c r="BC47" s="526">
        <v>2</v>
      </c>
      <c r="BD47" s="526">
        <v>1</v>
      </c>
      <c r="BE47" s="526">
        <v>0</v>
      </c>
      <c r="BF47" s="548">
        <f t="shared" si="54"/>
        <v>284</v>
      </c>
      <c r="BG47" s="376">
        <v>0</v>
      </c>
      <c r="BH47" s="212">
        <v>27</v>
      </c>
      <c r="BI47" s="212">
        <v>130</v>
      </c>
      <c r="BJ47" s="212">
        <v>0</v>
      </c>
      <c r="BK47" s="586">
        <f t="shared" si="55"/>
        <v>157</v>
      </c>
      <c r="BL47" s="376">
        <v>2</v>
      </c>
      <c r="BM47" s="212">
        <v>3</v>
      </c>
      <c r="BN47" s="212">
        <v>99</v>
      </c>
      <c r="BO47" s="212">
        <v>0</v>
      </c>
      <c r="BP47" s="586">
        <f t="shared" si="56"/>
        <v>104</v>
      </c>
      <c r="BQ47" s="376">
        <v>1</v>
      </c>
      <c r="BR47" s="212">
        <v>53</v>
      </c>
      <c r="BS47" s="212">
        <v>5</v>
      </c>
      <c r="BT47" s="212">
        <v>1</v>
      </c>
      <c r="BU47" s="586">
        <f t="shared" si="57"/>
        <v>60</v>
      </c>
      <c r="BV47" s="376">
        <v>53</v>
      </c>
      <c r="BW47" s="212">
        <v>2</v>
      </c>
      <c r="BX47" s="212">
        <v>46</v>
      </c>
      <c r="BY47" s="212">
        <v>0</v>
      </c>
      <c r="BZ47" s="586">
        <f t="shared" si="58"/>
        <v>101</v>
      </c>
      <c r="CA47" s="376">
        <v>68</v>
      </c>
      <c r="CB47" s="212">
        <v>3</v>
      </c>
      <c r="CC47" s="212">
        <v>53</v>
      </c>
      <c r="CD47" s="212">
        <v>0</v>
      </c>
      <c r="CE47" s="586">
        <f t="shared" si="59"/>
        <v>124</v>
      </c>
      <c r="CF47" s="376">
        <v>48</v>
      </c>
      <c r="CG47" s="212">
        <v>38</v>
      </c>
      <c r="CH47" s="212">
        <v>277</v>
      </c>
      <c r="CI47" s="212">
        <v>0</v>
      </c>
      <c r="CJ47" s="586">
        <f t="shared" si="60"/>
        <v>363</v>
      </c>
    </row>
    <row r="48" spans="1:88" ht="20.100000000000001" customHeight="1" x14ac:dyDescent="0.25">
      <c r="A48" s="210">
        <v>44134</v>
      </c>
      <c r="B48" s="788">
        <f t="shared" si="1"/>
        <v>3919</v>
      </c>
      <c r="C48" s="544">
        <f t="shared" si="27"/>
        <v>1129</v>
      </c>
      <c r="D48" s="545">
        <f t="shared" si="28"/>
        <v>725</v>
      </c>
      <c r="E48" s="545">
        <f t="shared" si="30"/>
        <v>2009</v>
      </c>
      <c r="F48" s="545">
        <f t="shared" si="31"/>
        <v>53</v>
      </c>
      <c r="G48" s="602">
        <f t="shared" ref="G48" si="63">L48</f>
        <v>3</v>
      </c>
      <c r="H48" s="213">
        <f>38+52</f>
        <v>90</v>
      </c>
      <c r="I48" s="212">
        <f>133+122</f>
        <v>255</v>
      </c>
      <c r="J48" s="212">
        <f>246+370</f>
        <v>616</v>
      </c>
      <c r="K48" s="212">
        <v>6</v>
      </c>
      <c r="L48" s="212">
        <v>3</v>
      </c>
      <c r="M48" s="601">
        <f t="shared" si="48"/>
        <v>970</v>
      </c>
      <c r="N48" s="651">
        <v>0</v>
      </c>
      <c r="O48" s="600">
        <v>0</v>
      </c>
      <c r="P48" s="600">
        <v>0</v>
      </c>
      <c r="Q48" s="600">
        <v>0</v>
      </c>
      <c r="R48" s="665">
        <v>0</v>
      </c>
      <c r="S48" s="376">
        <v>1</v>
      </c>
      <c r="T48" s="212">
        <v>97</v>
      </c>
      <c r="U48" s="212">
        <v>117</v>
      </c>
      <c r="V48" s="212">
        <v>0</v>
      </c>
      <c r="W48" s="586">
        <f t="shared" si="49"/>
        <v>215</v>
      </c>
      <c r="X48" s="212">
        <v>356</v>
      </c>
      <c r="Y48" s="212">
        <v>9</v>
      </c>
      <c r="Z48" s="212">
        <v>14</v>
      </c>
      <c r="AA48" s="212">
        <v>0</v>
      </c>
      <c r="AB48" s="586">
        <f t="shared" si="50"/>
        <v>379</v>
      </c>
      <c r="AC48" s="373"/>
      <c r="AD48" s="211"/>
      <c r="AE48" s="211"/>
      <c r="AF48" s="211"/>
      <c r="AG48" s="531"/>
      <c r="AH48" s="376">
        <v>1</v>
      </c>
      <c r="AI48" s="212">
        <v>56</v>
      </c>
      <c r="AJ48" s="212">
        <v>119</v>
      </c>
      <c r="AK48" s="212">
        <v>44</v>
      </c>
      <c r="AL48" s="586">
        <f t="shared" si="51"/>
        <v>220</v>
      </c>
      <c r="AM48" s="376">
        <v>35</v>
      </c>
      <c r="AN48" s="212">
        <v>34</v>
      </c>
      <c r="AO48" s="212">
        <v>67</v>
      </c>
      <c r="AP48" s="212">
        <v>0</v>
      </c>
      <c r="AQ48" s="586">
        <f t="shared" si="52"/>
        <v>136</v>
      </c>
      <c r="AR48" s="376">
        <v>109</v>
      </c>
      <c r="AS48" s="212">
        <v>1</v>
      </c>
      <c r="AT48" s="212">
        <v>98</v>
      </c>
      <c r="AU48" s="212">
        <v>0</v>
      </c>
      <c r="AV48" s="586">
        <f>SUM(AR48:AU48)</f>
        <v>208</v>
      </c>
      <c r="AW48" s="376">
        <v>51</v>
      </c>
      <c r="AX48" s="212">
        <v>58</v>
      </c>
      <c r="AY48" s="212">
        <v>29</v>
      </c>
      <c r="AZ48" s="212">
        <v>0</v>
      </c>
      <c r="BA48" s="586">
        <f t="shared" si="53"/>
        <v>138</v>
      </c>
      <c r="BB48" s="526">
        <v>256</v>
      </c>
      <c r="BC48" s="526">
        <v>1</v>
      </c>
      <c r="BD48" s="526">
        <v>1</v>
      </c>
      <c r="BE48" s="526">
        <v>0</v>
      </c>
      <c r="BF48" s="548">
        <f t="shared" si="54"/>
        <v>258</v>
      </c>
      <c r="BG48" s="376">
        <v>3</v>
      </c>
      <c r="BH48" s="212">
        <v>51</v>
      </c>
      <c r="BI48" s="212">
        <v>226</v>
      </c>
      <c r="BJ48" s="212">
        <v>2</v>
      </c>
      <c r="BK48" s="586">
        <f t="shared" si="55"/>
        <v>282</v>
      </c>
      <c r="BL48" s="376">
        <v>3</v>
      </c>
      <c r="BM48" s="212">
        <v>8</v>
      </c>
      <c r="BN48" s="212">
        <v>136</v>
      </c>
      <c r="BO48" s="212">
        <v>0</v>
      </c>
      <c r="BP48" s="586">
        <f t="shared" si="56"/>
        <v>147</v>
      </c>
      <c r="BQ48" s="376">
        <v>2</v>
      </c>
      <c r="BR48" s="212">
        <v>92</v>
      </c>
      <c r="BS48" s="212">
        <v>28</v>
      </c>
      <c r="BT48" s="212">
        <v>1</v>
      </c>
      <c r="BU48" s="586">
        <f t="shared" si="57"/>
        <v>123</v>
      </c>
      <c r="BV48" s="376">
        <v>68</v>
      </c>
      <c r="BW48" s="212">
        <v>0</v>
      </c>
      <c r="BX48" s="212">
        <v>84</v>
      </c>
      <c r="BY48" s="212">
        <v>0</v>
      </c>
      <c r="BZ48" s="586">
        <f t="shared" si="58"/>
        <v>152</v>
      </c>
      <c r="CA48" s="376">
        <v>110</v>
      </c>
      <c r="CB48" s="212">
        <v>24</v>
      </c>
      <c r="CC48" s="212">
        <v>122</v>
      </c>
      <c r="CD48" s="212">
        <v>0</v>
      </c>
      <c r="CE48" s="586">
        <f t="shared" si="59"/>
        <v>256</v>
      </c>
      <c r="CF48" s="376">
        <v>44</v>
      </c>
      <c r="CG48" s="212">
        <v>39</v>
      </c>
      <c r="CH48" s="212">
        <v>352</v>
      </c>
      <c r="CI48" s="212">
        <v>0</v>
      </c>
      <c r="CJ48" s="586">
        <f t="shared" si="60"/>
        <v>435</v>
      </c>
    </row>
    <row r="49" spans="1:88" s="743" customFormat="1" ht="20.100000000000001" customHeight="1" x14ac:dyDescent="0.25">
      <c r="A49" s="741">
        <v>44135</v>
      </c>
      <c r="B49" s="788">
        <f t="shared" si="1"/>
        <v>5222</v>
      </c>
      <c r="C49" s="544">
        <f t="shared" si="27"/>
        <v>1631</v>
      </c>
      <c r="D49" s="545">
        <f t="shared" si="28"/>
        <v>1422</v>
      </c>
      <c r="E49" s="545">
        <f t="shared" si="30"/>
        <v>2089</v>
      </c>
      <c r="F49" s="545">
        <f t="shared" si="31"/>
        <v>80</v>
      </c>
      <c r="G49" s="742">
        <f>L49</f>
        <v>0</v>
      </c>
      <c r="H49" s="213">
        <f>61+1+29+38</f>
        <v>129</v>
      </c>
      <c r="I49" s="212">
        <f>131+8+92+533</f>
        <v>764</v>
      </c>
      <c r="J49" s="212">
        <f>326+0+207+171</f>
        <v>704</v>
      </c>
      <c r="K49" s="212">
        <f>1+0+2</f>
        <v>3</v>
      </c>
      <c r="L49" s="212">
        <v>0</v>
      </c>
      <c r="M49" s="601">
        <f t="shared" si="48"/>
        <v>1600</v>
      </c>
      <c r="N49" s="651">
        <v>0</v>
      </c>
      <c r="O49" s="600">
        <v>0</v>
      </c>
      <c r="P49" s="600">
        <v>0</v>
      </c>
      <c r="Q49" s="600">
        <v>0</v>
      </c>
      <c r="R49" s="665">
        <v>0</v>
      </c>
      <c r="S49" s="376">
        <v>3</v>
      </c>
      <c r="T49" s="212">
        <v>97</v>
      </c>
      <c r="U49" s="212">
        <v>156</v>
      </c>
      <c r="V49" s="212">
        <v>1</v>
      </c>
      <c r="W49" s="586">
        <f t="shared" si="49"/>
        <v>257</v>
      </c>
      <c r="X49" s="212">
        <f>483+1</f>
        <v>484</v>
      </c>
      <c r="Y49" s="212">
        <v>6</v>
      </c>
      <c r="Z49" s="212">
        <v>26</v>
      </c>
      <c r="AA49" s="212">
        <v>0</v>
      </c>
      <c r="AB49" s="586">
        <f t="shared" si="50"/>
        <v>516</v>
      </c>
      <c r="AC49" s="376">
        <v>0</v>
      </c>
      <c r="AD49" s="212">
        <v>144</v>
      </c>
      <c r="AE49" s="212">
        <v>10</v>
      </c>
      <c r="AF49" s="212">
        <v>0</v>
      </c>
      <c r="AG49" s="586">
        <f>SUM(AC49:AF49)</f>
        <v>154</v>
      </c>
      <c r="AH49" s="376">
        <f>6+1</f>
        <v>7</v>
      </c>
      <c r="AI49" s="212">
        <f>57+10</f>
        <v>67</v>
      </c>
      <c r="AJ49" s="212">
        <f>112+23</f>
        <v>135</v>
      </c>
      <c r="AK49" s="212">
        <f>51+23</f>
        <v>74</v>
      </c>
      <c r="AL49" s="586">
        <f t="shared" si="51"/>
        <v>283</v>
      </c>
      <c r="AM49" s="376">
        <f>70</f>
        <v>70</v>
      </c>
      <c r="AN49" s="212">
        <v>51</v>
      </c>
      <c r="AO49" s="212">
        <v>116</v>
      </c>
      <c r="AP49" s="212">
        <v>0</v>
      </c>
      <c r="AQ49" s="586">
        <f t="shared" si="52"/>
        <v>237</v>
      </c>
      <c r="AR49" s="376">
        <v>115</v>
      </c>
      <c r="AS49" s="212">
        <v>0</v>
      </c>
      <c r="AT49" s="212">
        <v>112</v>
      </c>
      <c r="AU49" s="212">
        <v>0</v>
      </c>
      <c r="AV49" s="586">
        <f>SUM(AR49:AU49)</f>
        <v>227</v>
      </c>
      <c r="AW49" s="376">
        <v>77</v>
      </c>
      <c r="AX49" s="212">
        <v>103</v>
      </c>
      <c r="AY49" s="212">
        <v>43</v>
      </c>
      <c r="AZ49" s="212">
        <v>0</v>
      </c>
      <c r="BA49" s="586">
        <f t="shared" si="53"/>
        <v>223</v>
      </c>
      <c r="BB49" s="526">
        <v>506</v>
      </c>
      <c r="BC49" s="526">
        <v>0</v>
      </c>
      <c r="BD49" s="526">
        <v>3</v>
      </c>
      <c r="BE49" s="526">
        <v>0</v>
      </c>
      <c r="BF49" s="548">
        <f t="shared" si="54"/>
        <v>509</v>
      </c>
      <c r="BG49" s="376">
        <v>0</v>
      </c>
      <c r="BH49" s="212">
        <v>22</v>
      </c>
      <c r="BI49" s="212">
        <v>158</v>
      </c>
      <c r="BJ49" s="212">
        <v>0</v>
      </c>
      <c r="BK49" s="586">
        <f t="shared" si="55"/>
        <v>180</v>
      </c>
      <c r="BL49" s="376">
        <v>3</v>
      </c>
      <c r="BM49" s="212">
        <v>6</v>
      </c>
      <c r="BN49" s="212">
        <v>150</v>
      </c>
      <c r="BO49" s="212">
        <v>0</v>
      </c>
      <c r="BP49" s="586">
        <f t="shared" si="56"/>
        <v>159</v>
      </c>
      <c r="BQ49" s="376">
        <v>5</v>
      </c>
      <c r="BR49" s="212">
        <v>129</v>
      </c>
      <c r="BS49" s="212">
        <v>17</v>
      </c>
      <c r="BT49" s="212">
        <v>1</v>
      </c>
      <c r="BU49" s="586">
        <f t="shared" si="57"/>
        <v>152</v>
      </c>
      <c r="BV49" s="376">
        <v>91</v>
      </c>
      <c r="BW49" s="212">
        <v>2</v>
      </c>
      <c r="BX49" s="212">
        <v>70</v>
      </c>
      <c r="BY49" s="212">
        <v>1</v>
      </c>
      <c r="BZ49" s="586">
        <f t="shared" si="58"/>
        <v>164</v>
      </c>
      <c r="CA49" s="376">
        <v>75</v>
      </c>
      <c r="CB49" s="212">
        <v>13</v>
      </c>
      <c r="CC49" s="212">
        <v>78</v>
      </c>
      <c r="CD49" s="212">
        <v>0</v>
      </c>
      <c r="CE49" s="586">
        <f t="shared" si="59"/>
        <v>166</v>
      </c>
      <c r="CF49" s="376">
        <v>66</v>
      </c>
      <c r="CG49" s="212">
        <v>18</v>
      </c>
      <c r="CH49" s="212">
        <v>311</v>
      </c>
      <c r="CI49" s="212">
        <v>0</v>
      </c>
      <c r="CJ49" s="586">
        <f t="shared" si="60"/>
        <v>395</v>
      </c>
    </row>
    <row r="50" spans="1:88" ht="20.100000000000001" customHeight="1" x14ac:dyDescent="0.25">
      <c r="A50" s="749">
        <v>44136</v>
      </c>
      <c r="B50" s="789"/>
      <c r="C50" s="558"/>
      <c r="D50" s="559"/>
      <c r="E50" s="559"/>
      <c r="F50" s="559"/>
      <c r="G50" s="712"/>
      <c r="H50" s="745"/>
      <c r="I50" s="410"/>
      <c r="J50" s="410"/>
      <c r="K50" s="410"/>
      <c r="L50" s="410"/>
      <c r="M50" s="617"/>
      <c r="N50" s="746"/>
      <c r="O50" s="747"/>
      <c r="P50" s="747"/>
      <c r="Q50" s="747"/>
      <c r="R50" s="748"/>
      <c r="S50" s="739"/>
      <c r="T50" s="410"/>
      <c r="U50" s="410"/>
      <c r="V50" s="410"/>
      <c r="W50" s="740"/>
      <c r="X50" s="410"/>
      <c r="Y50" s="410"/>
      <c r="Z50" s="410"/>
      <c r="AA50" s="410"/>
      <c r="AB50" s="740"/>
      <c r="AC50" s="739"/>
      <c r="AD50" s="410"/>
      <c r="AE50" s="410"/>
      <c r="AF50" s="410"/>
      <c r="AG50" s="740"/>
      <c r="AH50" s="739"/>
      <c r="AI50" s="410"/>
      <c r="AJ50" s="410"/>
      <c r="AK50" s="410"/>
      <c r="AL50" s="744"/>
      <c r="AM50" s="739"/>
      <c r="AN50" s="410"/>
      <c r="AO50" s="410"/>
      <c r="AP50" s="410"/>
      <c r="AQ50" s="740"/>
      <c r="AR50" s="739"/>
      <c r="AS50" s="410"/>
      <c r="AT50" s="410"/>
      <c r="AU50" s="410"/>
      <c r="AV50" s="740"/>
      <c r="AW50" s="739"/>
      <c r="AX50" s="410"/>
      <c r="AY50" s="410"/>
      <c r="AZ50" s="410"/>
      <c r="BA50" s="740"/>
      <c r="BB50" s="744"/>
      <c r="BC50" s="744"/>
      <c r="BD50" s="744"/>
      <c r="BE50" s="744"/>
      <c r="BF50" s="744"/>
      <c r="BG50" s="739"/>
      <c r="BH50" s="410"/>
      <c r="BI50" s="410"/>
      <c r="BJ50" s="410"/>
      <c r="BK50" s="740"/>
      <c r="BL50" s="739"/>
      <c r="BM50" s="410"/>
      <c r="BN50" s="410"/>
      <c r="BO50" s="410"/>
      <c r="BP50" s="740"/>
      <c r="BQ50" s="739"/>
      <c r="BR50" s="410"/>
      <c r="BS50" s="410"/>
      <c r="BT50" s="410"/>
      <c r="BU50" s="740"/>
      <c r="BV50" s="739"/>
      <c r="BW50" s="410"/>
      <c r="BX50" s="410"/>
      <c r="BY50" s="410"/>
      <c r="BZ50" s="740"/>
      <c r="CA50" s="739"/>
      <c r="CB50" s="410"/>
      <c r="CC50" s="410"/>
      <c r="CD50" s="410"/>
      <c r="CE50" s="740"/>
      <c r="CF50" s="739"/>
      <c r="CG50" s="410"/>
      <c r="CH50" s="410"/>
      <c r="CI50" s="410"/>
      <c r="CJ50" s="740"/>
    </row>
    <row r="51" spans="1:88" ht="20.100000000000001" customHeight="1" x14ac:dyDescent="0.25">
      <c r="A51" s="394">
        <v>44137</v>
      </c>
      <c r="B51" s="788">
        <f t="shared" si="1"/>
        <v>1153</v>
      </c>
      <c r="C51" s="544">
        <f t="shared" si="27"/>
        <v>233</v>
      </c>
      <c r="D51" s="545">
        <f t="shared" si="28"/>
        <v>209</v>
      </c>
      <c r="E51" s="545">
        <f t="shared" si="30"/>
        <v>702</v>
      </c>
      <c r="F51" s="545">
        <f t="shared" si="31"/>
        <v>9</v>
      </c>
      <c r="G51" s="742">
        <f>L51</f>
        <v>0</v>
      </c>
      <c r="H51" s="733">
        <f>223+9+1</f>
        <v>233</v>
      </c>
      <c r="I51" s="734">
        <f>196+11+2</f>
        <v>209</v>
      </c>
      <c r="J51" s="734">
        <f>664+38</f>
        <v>702</v>
      </c>
      <c r="K51" s="734">
        <v>9</v>
      </c>
      <c r="L51" s="734">
        <v>0</v>
      </c>
      <c r="M51" s="601">
        <f>SUM(H51:L51)</f>
        <v>1153</v>
      </c>
      <c r="N51" s="735"/>
      <c r="O51" s="736"/>
      <c r="P51" s="736"/>
      <c r="Q51" s="736"/>
      <c r="R51" s="737"/>
      <c r="S51" s="374"/>
      <c r="T51" s="240"/>
      <c r="U51" s="240"/>
      <c r="V51" s="240"/>
      <c r="W51" s="532"/>
      <c r="X51" s="240"/>
      <c r="Y51" s="240"/>
      <c r="Z51" s="240"/>
      <c r="AA51" s="240"/>
      <c r="AB51" s="532"/>
      <c r="AC51" s="374"/>
      <c r="AD51" s="240"/>
      <c r="AE51" s="240"/>
      <c r="AF51" s="240"/>
      <c r="AG51" s="532"/>
      <c r="AH51" s="374"/>
      <c r="AI51" s="240"/>
      <c r="AJ51" s="240"/>
      <c r="AK51" s="240"/>
      <c r="AL51" s="744"/>
      <c r="AM51" s="374"/>
      <c r="AN51" s="240"/>
      <c r="AO51" s="240"/>
      <c r="AP51" s="240"/>
      <c r="AQ51" s="532"/>
      <c r="AR51" s="374"/>
      <c r="AS51" s="240"/>
      <c r="AT51" s="240"/>
      <c r="AU51" s="240"/>
      <c r="AV51" s="532"/>
      <c r="AW51" s="374"/>
      <c r="AX51" s="240"/>
      <c r="AY51" s="240"/>
      <c r="AZ51" s="240"/>
      <c r="BA51" s="532"/>
      <c r="BB51" s="523"/>
      <c r="BC51" s="523"/>
      <c r="BD51" s="523"/>
      <c r="BE51" s="523"/>
      <c r="BF51" s="523"/>
      <c r="BG51" s="374"/>
      <c r="BH51" s="240"/>
      <c r="BI51" s="240"/>
      <c r="BJ51" s="240"/>
      <c r="BK51" s="532"/>
      <c r="BL51" s="374"/>
      <c r="BM51" s="240"/>
      <c r="BN51" s="240"/>
      <c r="BO51" s="240"/>
      <c r="BP51" s="532"/>
      <c r="BQ51" s="374"/>
      <c r="BR51" s="240"/>
      <c r="BS51" s="240"/>
      <c r="BT51" s="240"/>
      <c r="BU51" s="532"/>
      <c r="BV51" s="374"/>
      <c r="BW51" s="240"/>
      <c r="BX51" s="240"/>
      <c r="BY51" s="240"/>
      <c r="BZ51" s="532"/>
      <c r="CA51" s="374"/>
      <c r="CB51" s="240"/>
      <c r="CC51" s="240"/>
      <c r="CD51" s="240"/>
      <c r="CE51" s="532"/>
      <c r="CF51" s="374"/>
      <c r="CG51" s="240"/>
      <c r="CH51" s="240"/>
      <c r="CI51" s="240"/>
      <c r="CJ51" s="532"/>
    </row>
    <row r="52" spans="1:88" ht="20.100000000000001" customHeight="1" thickBot="1" x14ac:dyDescent="0.3">
      <c r="A52" s="738">
        <v>44138</v>
      </c>
      <c r="B52" s="790">
        <f t="shared" si="1"/>
        <v>6164</v>
      </c>
      <c r="C52" s="751">
        <f>SUM(H52,S52,X52,AC52,AH52,N52,AM52,AR52,AW52,BB52,BG52,BL52,BQ52,BV52,CA52,CF52)</f>
        <v>2018</v>
      </c>
      <c r="D52" s="791">
        <f t="shared" si="28"/>
        <v>957</v>
      </c>
      <c r="E52" s="791">
        <f t="shared" si="30"/>
        <v>3019</v>
      </c>
      <c r="F52" s="791">
        <f t="shared" si="31"/>
        <v>87</v>
      </c>
      <c r="G52" s="752">
        <f>L52</f>
        <v>83</v>
      </c>
      <c r="H52" s="733">
        <f>151+18+1848+1</f>
        <v>2018</v>
      </c>
      <c r="I52" s="734">
        <f>135+5+817</f>
        <v>957</v>
      </c>
      <c r="J52" s="734">
        <f>477+18+2515+6+3</f>
        <v>3019</v>
      </c>
      <c r="K52" s="734">
        <f>18+69</f>
        <v>87</v>
      </c>
      <c r="L52" s="734">
        <f>1+82</f>
        <v>83</v>
      </c>
      <c r="M52" s="750">
        <f>SUM(H52:L52)</f>
        <v>6164</v>
      </c>
      <c r="N52" s="735"/>
      <c r="O52" s="736"/>
      <c r="P52" s="736"/>
      <c r="Q52" s="736"/>
      <c r="R52" s="737"/>
      <c r="S52" s="374"/>
      <c r="T52" s="240"/>
      <c r="U52" s="240"/>
      <c r="V52" s="240"/>
      <c r="W52" s="532"/>
      <c r="X52" s="240"/>
      <c r="Y52" s="240"/>
      <c r="Z52" s="240"/>
      <c r="AA52" s="240"/>
      <c r="AB52" s="532"/>
      <c r="AC52" s="374"/>
      <c r="AD52" s="240"/>
      <c r="AE52" s="240"/>
      <c r="AF52" s="240"/>
      <c r="AG52" s="532"/>
      <c r="AH52" s="374"/>
      <c r="AI52" s="240"/>
      <c r="AJ52" s="240"/>
      <c r="AK52" s="240"/>
      <c r="AL52" s="744"/>
      <c r="AM52" s="374"/>
      <c r="AN52" s="240"/>
      <c r="AO52" s="240"/>
      <c r="AP52" s="240"/>
      <c r="AQ52" s="532"/>
      <c r="AR52" s="374"/>
      <c r="AS52" s="240"/>
      <c r="AT52" s="240"/>
      <c r="AU52" s="240"/>
      <c r="AV52" s="532"/>
      <c r="AW52" s="374"/>
      <c r="AX52" s="240"/>
      <c r="AY52" s="240"/>
      <c r="AZ52" s="240"/>
      <c r="BA52" s="532"/>
      <c r="BB52" s="523"/>
      <c r="BC52" s="523"/>
      <c r="BD52" s="523"/>
      <c r="BE52" s="523"/>
      <c r="BF52" s="523"/>
      <c r="BG52" s="374"/>
      <c r="BH52" s="240"/>
      <c r="BI52" s="240"/>
      <c r="BJ52" s="240"/>
      <c r="BK52" s="532"/>
      <c r="BL52" s="374"/>
      <c r="BM52" s="240"/>
      <c r="BN52" s="240"/>
      <c r="BO52" s="240"/>
      <c r="BP52" s="532"/>
      <c r="BQ52" s="374"/>
      <c r="BR52" s="240"/>
      <c r="BS52" s="240"/>
      <c r="BT52" s="240"/>
      <c r="BU52" s="532"/>
      <c r="BV52" s="374"/>
      <c r="BW52" s="240"/>
      <c r="BX52" s="240"/>
      <c r="BY52" s="240"/>
      <c r="BZ52" s="532"/>
      <c r="CA52" s="374"/>
      <c r="CB52" s="240"/>
      <c r="CC52" s="240"/>
      <c r="CD52" s="240"/>
      <c r="CE52" s="532"/>
      <c r="CF52" s="374"/>
      <c r="CG52" s="240"/>
      <c r="CH52" s="240"/>
      <c r="CI52" s="240"/>
      <c r="CJ52" s="532"/>
    </row>
    <row r="53" spans="1:88" s="509" customFormat="1" ht="24" customHeight="1" thickTop="1" x14ac:dyDescent="0.25">
      <c r="A53" s="505"/>
      <c r="B53" s="553">
        <f>SUM(B6:B52)</f>
        <v>85292</v>
      </c>
      <c r="C53" s="554">
        <f t="shared" ref="C53:M53" si="64">SUM(C6:C52)</f>
        <v>24107</v>
      </c>
      <c r="D53" s="554">
        <f t="shared" si="64"/>
        <v>17231</v>
      </c>
      <c r="E53" s="554">
        <f t="shared" si="64"/>
        <v>42611</v>
      </c>
      <c r="F53" s="554">
        <f t="shared" si="64"/>
        <v>1218</v>
      </c>
      <c r="G53" s="554">
        <f>SUM(G6:G52)</f>
        <v>125</v>
      </c>
      <c r="H53" s="506">
        <f t="shared" si="64"/>
        <v>7216</v>
      </c>
      <c r="I53" s="507">
        <f t="shared" si="64"/>
        <v>10328</v>
      </c>
      <c r="J53" s="507">
        <f t="shared" si="64"/>
        <v>25130</v>
      </c>
      <c r="K53" s="507">
        <f t="shared" si="64"/>
        <v>339</v>
      </c>
      <c r="L53" s="507">
        <f t="shared" si="64"/>
        <v>125</v>
      </c>
      <c r="M53" s="589">
        <f t="shared" si="64"/>
        <v>43138</v>
      </c>
      <c r="N53" s="549">
        <f>SUM(N9:N52)</f>
        <v>55</v>
      </c>
      <c r="O53" s="550">
        <f>SUM(O17:O52)</f>
        <v>13</v>
      </c>
      <c r="P53" s="550">
        <f>SUM(P10:P52)</f>
        <v>46</v>
      </c>
      <c r="Q53" s="550">
        <f>SUM(Q7:Q52)</f>
        <v>0</v>
      </c>
      <c r="R53" s="589">
        <f>SUM(R17:R52)</f>
        <v>114</v>
      </c>
      <c r="S53" s="508">
        <f>SUM(S6:S52)</f>
        <v>25</v>
      </c>
      <c r="T53" s="507">
        <f>SUM(T6:T52)</f>
        <v>902</v>
      </c>
      <c r="U53" s="507">
        <f>SUM(U6:U52)</f>
        <v>1152</v>
      </c>
      <c r="V53" s="507">
        <f>SUM(V6:V52)</f>
        <v>1</v>
      </c>
      <c r="W53" s="589">
        <f>SUM(W17:W52)</f>
        <v>2080</v>
      </c>
      <c r="X53" s="507">
        <f>SUM(X6:X52)</f>
        <v>5194</v>
      </c>
      <c r="Y53" s="507">
        <f>SUM(Y6:Y52)</f>
        <v>52</v>
      </c>
      <c r="Z53" s="507">
        <f>SUM(Z6:Z52)</f>
        <v>179</v>
      </c>
      <c r="AA53" s="507">
        <f>SUM(AA6:AA52)</f>
        <v>0</v>
      </c>
      <c r="AB53" s="589">
        <f>SUM(AB17:AB52)</f>
        <v>5425</v>
      </c>
      <c r="AC53" s="508">
        <f>SUM(AC6:AC52)</f>
        <v>2</v>
      </c>
      <c r="AD53" s="507">
        <f>SUM(AD6:AD52)</f>
        <v>554</v>
      </c>
      <c r="AE53" s="507">
        <f>SUM(AE6:AE52)</f>
        <v>35</v>
      </c>
      <c r="AF53" s="507">
        <f>SUM(AF6:AF52)</f>
        <v>0</v>
      </c>
      <c r="AG53" s="589">
        <f>SUM(AG17:AG52)</f>
        <v>601</v>
      </c>
      <c r="AH53" s="508">
        <f>SUM(AH6:AH52)</f>
        <v>21</v>
      </c>
      <c r="AI53" s="507">
        <f>SUM(AI6:AI52)</f>
        <v>877</v>
      </c>
      <c r="AJ53" s="507">
        <f>SUM(AJ6:AJ52)</f>
        <v>1379</v>
      </c>
      <c r="AK53" s="507">
        <f>SUM(AK6:AK52)</f>
        <v>832</v>
      </c>
      <c r="AL53" s="589">
        <f>SUM(AL17:AL52)</f>
        <v>3109</v>
      </c>
      <c r="AM53" s="508">
        <f>SUM(AM6:AM52)</f>
        <v>520</v>
      </c>
      <c r="AN53" s="507">
        <f>SUM(AN6:AN52)</f>
        <v>495</v>
      </c>
      <c r="AO53" s="507">
        <f>SUM(AO6:AO52)</f>
        <v>816</v>
      </c>
      <c r="AP53" s="507">
        <f>SUM(AP6:AP52)</f>
        <v>0</v>
      </c>
      <c r="AQ53" s="589">
        <f>SUM(AQ17:AQ52)</f>
        <v>1831</v>
      </c>
      <c r="AR53" s="508">
        <f>SUM(AR6:AR52)</f>
        <v>1540</v>
      </c>
      <c r="AS53" s="507">
        <f>SUM(AS6:AS52)</f>
        <v>71</v>
      </c>
      <c r="AT53" s="507">
        <f>SUM(AT6:AT52)</f>
        <v>1444</v>
      </c>
      <c r="AU53" s="507">
        <f>SUM(AU6:AU52)</f>
        <v>0</v>
      </c>
      <c r="AV53" s="589">
        <f>SUM(AV17:AV52)</f>
        <v>3055</v>
      </c>
      <c r="AW53" s="508">
        <f>SUM(AW6:AW52)</f>
        <v>1343</v>
      </c>
      <c r="AX53" s="507">
        <f>SUM(AX6:AX52)</f>
        <v>1459</v>
      </c>
      <c r="AY53" s="507">
        <f>SUM(AY6:AY52)</f>
        <v>464</v>
      </c>
      <c r="AZ53" s="507">
        <f>SUM(AZ6:AZ52)</f>
        <v>3</v>
      </c>
      <c r="BA53" s="589">
        <f>SUM(BA17:BA52)</f>
        <v>3269</v>
      </c>
      <c r="BB53" s="550">
        <f>SUM(BB6:BB52)</f>
        <v>5049</v>
      </c>
      <c r="BC53" s="550">
        <f>SUM(BC6:BC52)</f>
        <v>16</v>
      </c>
      <c r="BD53" s="550">
        <f>SUM(BD6:BD52)</f>
        <v>34</v>
      </c>
      <c r="BE53" s="550">
        <f>SUM(BE6:BE52)</f>
        <v>0</v>
      </c>
      <c r="BF53" s="552">
        <f>SUM(BB53:BE53)</f>
        <v>5099</v>
      </c>
      <c r="BG53" s="508">
        <f>SUM(BG6:BG52)</f>
        <v>20</v>
      </c>
      <c r="BH53" s="507">
        <f>SUM(BH6:BH52)</f>
        <v>572</v>
      </c>
      <c r="BI53" s="507">
        <f>SUM(BI6:BI52)</f>
        <v>3091</v>
      </c>
      <c r="BJ53" s="507">
        <f>SUM(BJ6:BJ52)</f>
        <v>37</v>
      </c>
      <c r="BK53" s="589">
        <f>SUM(BK17:BK52)</f>
        <v>3720</v>
      </c>
      <c r="BL53" s="508">
        <f>SUM(BL6:BL52)</f>
        <v>53</v>
      </c>
      <c r="BM53" s="507">
        <f>SUM(BM6:BM52)</f>
        <v>49</v>
      </c>
      <c r="BN53" s="507">
        <f>SUM(BN6:BN52)</f>
        <v>1974</v>
      </c>
      <c r="BO53" s="507">
        <f>SUM(BO6:BO52)</f>
        <v>0</v>
      </c>
      <c r="BP53" s="589">
        <f>SUM(BP17:BP52)</f>
        <v>2076</v>
      </c>
      <c r="BQ53" s="508">
        <f>SUM(BQ6:BQ52)</f>
        <v>20</v>
      </c>
      <c r="BR53" s="507">
        <f>SUM(BR6:BR52)</f>
        <v>1167</v>
      </c>
      <c r="BS53" s="507">
        <f>SUM(BS6:BS52)</f>
        <v>212</v>
      </c>
      <c r="BT53" s="507">
        <f>SUM(BT6:BT52)</f>
        <v>4</v>
      </c>
      <c r="BU53" s="589">
        <f>SUM(BU17:BU52)</f>
        <v>1403</v>
      </c>
      <c r="BV53" s="508">
        <f>SUM(BV6:BV52)</f>
        <v>1003</v>
      </c>
      <c r="BW53" s="507">
        <f>SUM(BW6:BW52)</f>
        <v>53</v>
      </c>
      <c r="BX53" s="507">
        <f>SUM(BX6:BX52)</f>
        <v>776</v>
      </c>
      <c r="BY53" s="507">
        <f>SUM(BY6:BY52)</f>
        <v>1</v>
      </c>
      <c r="BZ53" s="589">
        <f>SUM(BZ17:BZ52)</f>
        <v>1833</v>
      </c>
      <c r="CA53" s="508">
        <f>SUM(CA6:CA52)</f>
        <v>1386</v>
      </c>
      <c r="CB53" s="507">
        <f>SUM(CB6:CB52)</f>
        <v>153</v>
      </c>
      <c r="CC53" s="507">
        <f>SUM(CC6:CC52)</f>
        <v>1285</v>
      </c>
      <c r="CD53" s="507">
        <f>SUM(CD6:CD52)</f>
        <v>0</v>
      </c>
      <c r="CE53" s="589">
        <f>SUM(CE17:CE52)</f>
        <v>2824</v>
      </c>
      <c r="CF53" s="508">
        <f>SUM(CF6:CF52)</f>
        <v>660</v>
      </c>
      <c r="CG53" s="507">
        <f>SUM(CG6:CG52)</f>
        <v>470</v>
      </c>
      <c r="CH53" s="507">
        <f>SUM(CH6:CH52)</f>
        <v>4594</v>
      </c>
      <c r="CI53" s="507">
        <f>SUM(CI6:CI52)</f>
        <v>1</v>
      </c>
      <c r="CJ53" s="589">
        <f>SUM(CJ17:CJ52)</f>
        <v>5725</v>
      </c>
    </row>
    <row r="54" spans="1:88" s="621" customFormat="1" ht="17.25" customHeight="1" x14ac:dyDescent="0.25">
      <c r="A54" s="118"/>
      <c r="B54" s="118">
        <f>SUM(C53:G53)</f>
        <v>85292</v>
      </c>
      <c r="C54" s="118"/>
      <c r="D54" s="118"/>
      <c r="E54" s="118"/>
      <c r="F54" s="118"/>
      <c r="G54" s="118"/>
      <c r="H54" s="118"/>
      <c r="I54" s="118"/>
      <c r="J54" s="118"/>
      <c r="K54" s="852"/>
      <c r="L54" s="852"/>
      <c r="M54" s="853">
        <f>SUM(H53:L53)</f>
        <v>43138</v>
      </c>
      <c r="N54" s="853"/>
      <c r="O54" s="853"/>
      <c r="P54" s="853"/>
      <c r="Q54" s="853"/>
      <c r="R54" s="853">
        <f>SUM(N53:Q53)</f>
        <v>114</v>
      </c>
      <c r="W54" s="106">
        <f>SUM(S53:V53)</f>
        <v>2080</v>
      </c>
      <c r="AB54" s="106">
        <f>SUM(X53:AA53)</f>
        <v>5425</v>
      </c>
      <c r="AG54" s="106">
        <f>SUM(AC53:AF53)</f>
        <v>591</v>
      </c>
      <c r="AL54" s="106">
        <f>SUM(AH53:AK53)</f>
        <v>3109</v>
      </c>
      <c r="AQ54" s="106">
        <f>SUM(AM53:AP53)</f>
        <v>1831</v>
      </c>
      <c r="AV54" s="106">
        <f>SUM(AR53:AU53)</f>
        <v>3055</v>
      </c>
      <c r="BA54" s="106">
        <f>SUM(AW53:AZ53)</f>
        <v>3269</v>
      </c>
      <c r="BF54" s="106">
        <f>SUM(BB53:BE53)</f>
        <v>5099</v>
      </c>
      <c r="BK54" s="106">
        <f>SUM(BG53:BJ53)</f>
        <v>3720</v>
      </c>
      <c r="BP54" s="106">
        <f>SUM(BL53:BO53)</f>
        <v>2076</v>
      </c>
      <c r="BU54" s="106">
        <f>SUM(BQ53:BT53)</f>
        <v>1403</v>
      </c>
      <c r="BZ54" s="106">
        <f>SUM(BV53:BY53)</f>
        <v>1833</v>
      </c>
      <c r="CE54" s="106">
        <f>SUM(CA53:CD53)</f>
        <v>2824</v>
      </c>
      <c r="CJ54" s="106">
        <f>SUM(CF53:CI53)</f>
        <v>5725</v>
      </c>
    </row>
    <row r="55" spans="1:88" s="90" customFormat="1" ht="57" customHeight="1" x14ac:dyDescent="0.25">
      <c r="A55" s="831"/>
      <c r="B55" s="832"/>
      <c r="C55" s="832"/>
      <c r="D55" s="832"/>
      <c r="E55" s="832"/>
      <c r="F55" s="832"/>
      <c r="G55" s="832"/>
      <c r="H55" s="88"/>
      <c r="I55" s="88"/>
      <c r="J55" s="88"/>
      <c r="K55" s="88"/>
      <c r="L55" s="556"/>
      <c r="M55" s="107"/>
      <c r="N55" s="89"/>
      <c r="O55" s="89"/>
      <c r="P55" s="89"/>
      <c r="Q55" s="89"/>
      <c r="R55" s="89"/>
      <c r="BU55" s="119">
        <f>SUM(BQ53:BT53)</f>
        <v>1403</v>
      </c>
    </row>
    <row r="56" spans="1:88" s="92" customFormat="1" x14ac:dyDescent="0.25">
      <c r="A56" s="91"/>
      <c r="B56" s="700"/>
      <c r="C56" s="381"/>
      <c r="D56" s="729"/>
      <c r="E56" s="730">
        <f>SUM(C53:G53)</f>
        <v>85292</v>
      </c>
      <c r="F56" s="729"/>
      <c r="G56" s="381"/>
      <c r="H56" s="91"/>
      <c r="I56" s="91"/>
      <c r="J56" s="91"/>
      <c r="K56" s="91"/>
      <c r="L56" s="91"/>
      <c r="M56" s="700"/>
      <c r="N56" s="381"/>
      <c r="O56" s="381"/>
      <c r="P56" s="381"/>
      <c r="Q56" s="381"/>
      <c r="R56" s="381"/>
    </row>
  </sheetData>
  <sheetProtection algorithmName="SHA-512" hashValue="gz0b4kCebEWmqxfR2xhg9AWz4hfUrXCpZWDk9zz5sNkfmMcaGplUT0Bw1KFOL+Suo6M67wWDjWmz2+Kq2gIwkA==" saltValue="vuTtrs5cVNbDjFH0Q43lcQ==" spinCount="100000" sheet="1" objects="1" scenarios="1"/>
  <mergeCells count="20">
    <mergeCell ref="A55:G55"/>
    <mergeCell ref="C4:G4"/>
    <mergeCell ref="BG4:BJ4"/>
    <mergeCell ref="AW4:AZ4"/>
    <mergeCell ref="BB4:BE4"/>
    <mergeCell ref="A1:AS1"/>
    <mergeCell ref="A2:AS2"/>
    <mergeCell ref="N4:Q4"/>
    <mergeCell ref="H4:L4"/>
    <mergeCell ref="S4:V4"/>
    <mergeCell ref="AH4:AK4"/>
    <mergeCell ref="AM4:AP4"/>
    <mergeCell ref="AR4:AU4"/>
    <mergeCell ref="AC4:AF4"/>
    <mergeCell ref="X4:AA4"/>
    <mergeCell ref="BL4:BO4"/>
    <mergeCell ref="BQ4:BT4"/>
    <mergeCell ref="BV4:BY4"/>
    <mergeCell ref="CA4:CD4"/>
    <mergeCell ref="CF4:CI4"/>
  </mergeCells>
  <pageMargins left="0.7" right="0.7" top="0.75" bottom="0.75" header="0.3" footer="0.3"/>
  <pageSetup scale="9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647C-ACD0-4579-8FE8-BF04E21CBE64}">
  <dimension ref="A1:EK53"/>
  <sheetViews>
    <sheetView showGridLines="0" zoomScale="85" zoomScaleNormal="85" workbookViewId="0">
      <pane ySplit="5" topLeftCell="A40" activePane="bottomLeft" state="frozen"/>
      <selection pane="bottomLeft" activeCell="B57" sqref="B57"/>
    </sheetView>
  </sheetViews>
  <sheetFormatPr defaultRowHeight="15" x14ac:dyDescent="0.25"/>
  <cols>
    <col min="1" max="1" width="13.25" style="72" customWidth="1"/>
    <col min="2" max="2" width="13.375" style="73" customWidth="1"/>
    <col min="3" max="5" width="9" style="72" customWidth="1"/>
    <col min="6" max="6" width="10.375" style="72" customWidth="1"/>
    <col min="7" max="7" width="10.875" style="1" bestFit="1" customWidth="1"/>
    <col min="8" max="10" width="9" style="1"/>
    <col min="11" max="11" width="9" style="607"/>
    <col min="12" max="15" width="9" style="1"/>
    <col min="16" max="16" width="9" style="615"/>
    <col min="17" max="19" width="9" style="1"/>
    <col min="20" max="20" width="9" style="19"/>
    <col min="21" max="21" width="9" style="615"/>
    <col min="22" max="25" width="9" style="1"/>
    <col min="26" max="26" width="9" style="615"/>
    <col min="27" max="30" width="9" style="1"/>
    <col min="31" max="31" width="9" style="615"/>
    <col min="32" max="35" width="9" style="1"/>
    <col min="36" max="36" width="9" style="615"/>
    <col min="37" max="40" width="9" style="1"/>
    <col min="41" max="41" width="9" style="615"/>
    <col min="42" max="45" width="9" style="1"/>
    <col min="46" max="46" width="9" style="615"/>
    <col min="47" max="50" width="9" style="1"/>
    <col min="51" max="51" width="9" style="615"/>
    <col min="52" max="55" width="9" style="1"/>
    <col min="56" max="56" width="9" style="615"/>
    <col min="57" max="60" width="9" style="1"/>
    <col min="61" max="61" width="9" style="615"/>
    <col min="62" max="65" width="9" style="1"/>
    <col min="66" max="66" width="9" style="615"/>
    <col min="67" max="70" width="9" style="1"/>
    <col min="71" max="71" width="9" style="615"/>
    <col min="72" max="75" width="9" style="1"/>
    <col min="76" max="76" width="9" style="615"/>
    <col min="77" max="80" width="9" style="1"/>
    <col min="81" max="81" width="9" style="615"/>
    <col min="82" max="16384" width="9" style="1"/>
  </cols>
  <sheetData>
    <row r="1" spans="1:81" ht="36.75" customHeight="1" x14ac:dyDescent="0.25">
      <c r="A1" s="828" t="s">
        <v>14</v>
      </c>
      <c r="B1" s="828"/>
      <c r="C1" s="828"/>
      <c r="D1" s="828"/>
      <c r="E1" s="828"/>
      <c r="F1" s="828"/>
      <c r="G1" s="828"/>
      <c r="H1" s="828"/>
      <c r="I1" s="828"/>
      <c r="J1" s="828"/>
      <c r="K1" s="828"/>
      <c r="L1" s="828"/>
      <c r="M1" s="828"/>
      <c r="N1" s="828"/>
      <c r="O1" s="828"/>
      <c r="P1" s="828"/>
      <c r="Q1" s="828"/>
      <c r="R1" s="828"/>
      <c r="S1" s="828"/>
      <c r="T1" s="828"/>
      <c r="U1" s="828"/>
      <c r="V1" s="828"/>
      <c r="W1" s="828"/>
      <c r="X1" s="828"/>
      <c r="Y1" s="578"/>
      <c r="Z1" s="613"/>
    </row>
    <row r="2" spans="1:81" ht="19.5" customHeight="1" x14ac:dyDescent="0.3">
      <c r="A2" s="829" t="s">
        <v>59</v>
      </c>
      <c r="B2" s="829"/>
      <c r="C2" s="829"/>
      <c r="D2" s="829"/>
      <c r="E2" s="829"/>
      <c r="F2" s="829"/>
      <c r="G2" s="829"/>
      <c r="H2" s="829"/>
      <c r="I2" s="829"/>
      <c r="J2" s="829"/>
      <c r="K2" s="829"/>
      <c r="L2" s="829"/>
      <c r="M2" s="829"/>
      <c r="N2" s="829"/>
      <c r="O2" s="829"/>
      <c r="P2" s="829"/>
      <c r="Q2" s="829"/>
      <c r="R2" s="829"/>
      <c r="S2" s="829"/>
      <c r="T2" s="829"/>
      <c r="U2" s="829"/>
      <c r="V2" s="829"/>
      <c r="W2" s="829"/>
      <c r="X2" s="829"/>
      <c r="Y2" s="829"/>
      <c r="Z2" s="829"/>
      <c r="AA2" s="829"/>
      <c r="AB2" s="829"/>
    </row>
    <row r="3" spans="1:81" ht="27.75" customHeight="1" x14ac:dyDescent="0.25">
      <c r="A3" s="74"/>
      <c r="B3" s="74"/>
      <c r="C3" s="1"/>
      <c r="D3" s="246"/>
      <c r="E3" s="246"/>
      <c r="F3" s="319"/>
    </row>
    <row r="4" spans="1:81" s="371" customFormat="1" ht="57.75" customHeight="1" x14ac:dyDescent="0.2">
      <c r="A4" s="370"/>
      <c r="B4" s="625" t="s">
        <v>53</v>
      </c>
      <c r="C4" s="836" t="s">
        <v>5</v>
      </c>
      <c r="D4" s="837"/>
      <c r="E4" s="837"/>
      <c r="F4" s="838"/>
      <c r="G4" s="840" t="s">
        <v>12</v>
      </c>
      <c r="H4" s="833"/>
      <c r="I4" s="833"/>
      <c r="J4" s="833"/>
      <c r="K4" s="604">
        <f>K50</f>
        <v>50644</v>
      </c>
      <c r="L4" s="826" t="s">
        <v>65</v>
      </c>
      <c r="M4" s="827"/>
      <c r="N4" s="827"/>
      <c r="O4" s="580"/>
      <c r="P4" s="604">
        <f>P50</f>
        <v>10858</v>
      </c>
      <c r="Q4" s="826" t="s">
        <v>62</v>
      </c>
      <c r="R4" s="827"/>
      <c r="S4" s="827"/>
      <c r="T4" s="580"/>
      <c r="U4" s="604">
        <f>U50</f>
        <v>10161</v>
      </c>
      <c r="V4" s="826" t="s">
        <v>64</v>
      </c>
      <c r="W4" s="827"/>
      <c r="X4" s="827"/>
      <c r="Y4" s="580"/>
      <c r="Z4" s="604">
        <f>Z50</f>
        <v>2317</v>
      </c>
      <c r="AA4" s="826" t="s">
        <v>63</v>
      </c>
      <c r="AB4" s="827"/>
      <c r="AC4" s="827"/>
      <c r="AD4" s="580"/>
      <c r="AE4" s="604">
        <f>AE50</f>
        <v>10104</v>
      </c>
      <c r="AF4" s="826" t="s">
        <v>94</v>
      </c>
      <c r="AG4" s="827"/>
      <c r="AH4" s="827"/>
      <c r="AI4" s="580"/>
      <c r="AJ4" s="604">
        <f>AJ50</f>
        <v>9207</v>
      </c>
      <c r="AK4" s="826" t="s">
        <v>66</v>
      </c>
      <c r="AL4" s="827"/>
      <c r="AM4" s="827"/>
      <c r="AN4" s="827"/>
      <c r="AO4" s="604">
        <f>AO50</f>
        <v>10732</v>
      </c>
      <c r="AP4" s="826" t="s">
        <v>67</v>
      </c>
      <c r="AQ4" s="827"/>
      <c r="AR4" s="827"/>
      <c r="AS4" s="827"/>
      <c r="AT4" s="614">
        <f>AT50</f>
        <v>13504</v>
      </c>
      <c r="AU4" s="839" t="s">
        <v>95</v>
      </c>
      <c r="AV4" s="827"/>
      <c r="AW4" s="827"/>
      <c r="AX4" s="827"/>
      <c r="AY4" s="604">
        <f>AY50</f>
        <v>13132</v>
      </c>
      <c r="AZ4" s="826" t="s">
        <v>68</v>
      </c>
      <c r="BA4" s="827"/>
      <c r="BB4" s="827"/>
      <c r="BC4" s="827"/>
      <c r="BD4" s="604">
        <f>BD50</f>
        <v>11638</v>
      </c>
      <c r="BE4" s="826" t="s">
        <v>69</v>
      </c>
      <c r="BF4" s="827"/>
      <c r="BG4" s="827"/>
      <c r="BH4" s="827"/>
      <c r="BI4" s="604">
        <f>BI50</f>
        <v>11843</v>
      </c>
      <c r="BJ4" s="826" t="s">
        <v>70</v>
      </c>
      <c r="BK4" s="827"/>
      <c r="BL4" s="827"/>
      <c r="BM4" s="827"/>
      <c r="BN4" s="604">
        <f>BN50</f>
        <v>8467</v>
      </c>
      <c r="BO4" s="826" t="s">
        <v>71</v>
      </c>
      <c r="BP4" s="827"/>
      <c r="BQ4" s="827"/>
      <c r="BR4" s="827"/>
      <c r="BS4" s="604">
        <f>BS50</f>
        <v>9536</v>
      </c>
      <c r="BT4" s="826" t="s">
        <v>72</v>
      </c>
      <c r="BU4" s="827"/>
      <c r="BV4" s="827"/>
      <c r="BW4" s="827"/>
      <c r="BX4" s="604">
        <f>BX50</f>
        <v>10318</v>
      </c>
      <c r="BY4" s="826" t="s">
        <v>73</v>
      </c>
      <c r="BZ4" s="827"/>
      <c r="CA4" s="827"/>
      <c r="CB4" s="827"/>
      <c r="CC4" s="604">
        <f>CC50</f>
        <v>11135</v>
      </c>
    </row>
    <row r="5" spans="1:81" s="83" customFormat="1" ht="52.5" customHeight="1" thickBot="1" x14ac:dyDescent="0.25">
      <c r="A5" s="80" t="s">
        <v>7</v>
      </c>
      <c r="B5" s="518">
        <f>B50</f>
        <v>193596</v>
      </c>
      <c r="C5" s="503" t="s">
        <v>17</v>
      </c>
      <c r="D5" s="468" t="s">
        <v>18</v>
      </c>
      <c r="E5" s="468" t="s">
        <v>19</v>
      </c>
      <c r="F5" s="504" t="s">
        <v>78</v>
      </c>
      <c r="G5" s="248" t="s">
        <v>17</v>
      </c>
      <c r="H5" s="249" t="s">
        <v>18</v>
      </c>
      <c r="I5" s="249" t="s">
        <v>79</v>
      </c>
      <c r="J5" s="81" t="s">
        <v>76</v>
      </c>
      <c r="K5" s="608" t="s">
        <v>5</v>
      </c>
      <c r="L5" s="248" t="s">
        <v>17</v>
      </c>
      <c r="M5" s="249" t="s">
        <v>18</v>
      </c>
      <c r="N5" s="249" t="s">
        <v>19</v>
      </c>
      <c r="O5" s="583" t="s">
        <v>76</v>
      </c>
      <c r="P5" s="605" t="s">
        <v>5</v>
      </c>
      <c r="Q5" s="249" t="s">
        <v>17</v>
      </c>
      <c r="R5" s="249" t="s">
        <v>18</v>
      </c>
      <c r="S5" s="249" t="s">
        <v>19</v>
      </c>
      <c r="T5" s="583" t="s">
        <v>76</v>
      </c>
      <c r="U5" s="605" t="s">
        <v>5</v>
      </c>
      <c r="V5" s="249" t="s">
        <v>17</v>
      </c>
      <c r="W5" s="249" t="s">
        <v>18</v>
      </c>
      <c r="X5" s="249" t="s">
        <v>19</v>
      </c>
      <c r="Y5" s="583" t="s">
        <v>76</v>
      </c>
      <c r="Z5" s="605" t="s">
        <v>5</v>
      </c>
      <c r="AA5" s="248" t="s">
        <v>17</v>
      </c>
      <c r="AB5" s="249" t="s">
        <v>18</v>
      </c>
      <c r="AC5" s="249" t="s">
        <v>19</v>
      </c>
      <c r="AD5" s="583" t="s">
        <v>76</v>
      </c>
      <c r="AE5" s="605" t="s">
        <v>5</v>
      </c>
      <c r="AF5" s="248" t="s">
        <v>17</v>
      </c>
      <c r="AG5" s="249" t="s">
        <v>18</v>
      </c>
      <c r="AH5" s="249" t="s">
        <v>19</v>
      </c>
      <c r="AI5" s="583" t="s">
        <v>76</v>
      </c>
      <c r="AJ5" s="605" t="s">
        <v>5</v>
      </c>
      <c r="AK5" s="248" t="s">
        <v>17</v>
      </c>
      <c r="AL5" s="249" t="s">
        <v>18</v>
      </c>
      <c r="AM5" s="249" t="s">
        <v>19</v>
      </c>
      <c r="AN5" s="583" t="s">
        <v>76</v>
      </c>
      <c r="AO5" s="605" t="s">
        <v>5</v>
      </c>
      <c r="AP5" s="248" t="s">
        <v>17</v>
      </c>
      <c r="AQ5" s="249" t="s">
        <v>18</v>
      </c>
      <c r="AR5" s="249" t="s">
        <v>19</v>
      </c>
      <c r="AS5" s="583" t="s">
        <v>76</v>
      </c>
      <c r="AT5" s="605" t="s">
        <v>5</v>
      </c>
      <c r="AU5" s="248" t="s">
        <v>17</v>
      </c>
      <c r="AV5" s="249" t="s">
        <v>18</v>
      </c>
      <c r="AW5" s="249" t="s">
        <v>19</v>
      </c>
      <c r="AX5" s="583" t="s">
        <v>76</v>
      </c>
      <c r="AY5" s="605" t="s">
        <v>5</v>
      </c>
      <c r="AZ5" s="248" t="s">
        <v>17</v>
      </c>
      <c r="BA5" s="249" t="s">
        <v>18</v>
      </c>
      <c r="BB5" s="249" t="s">
        <v>19</v>
      </c>
      <c r="BC5" s="583" t="s">
        <v>76</v>
      </c>
      <c r="BD5" s="605" t="s">
        <v>5</v>
      </c>
      <c r="BE5" s="248" t="s">
        <v>17</v>
      </c>
      <c r="BF5" s="249" t="s">
        <v>18</v>
      </c>
      <c r="BG5" s="249" t="s">
        <v>19</v>
      </c>
      <c r="BH5" s="583" t="s">
        <v>76</v>
      </c>
      <c r="BI5" s="605" t="s">
        <v>5</v>
      </c>
      <c r="BJ5" s="248" t="s">
        <v>17</v>
      </c>
      <c r="BK5" s="249" t="s">
        <v>18</v>
      </c>
      <c r="BL5" s="249" t="s">
        <v>19</v>
      </c>
      <c r="BM5" s="583" t="s">
        <v>76</v>
      </c>
      <c r="BN5" s="605" t="s">
        <v>5</v>
      </c>
      <c r="BO5" s="248" t="s">
        <v>17</v>
      </c>
      <c r="BP5" s="249" t="s">
        <v>18</v>
      </c>
      <c r="BQ5" s="249" t="s">
        <v>92</v>
      </c>
      <c r="BR5" s="583" t="s">
        <v>76</v>
      </c>
      <c r="BS5" s="605" t="s">
        <v>5</v>
      </c>
      <c r="BT5" s="248" t="s">
        <v>17</v>
      </c>
      <c r="BU5" s="249" t="s">
        <v>18</v>
      </c>
      <c r="BV5" s="249" t="s">
        <v>93</v>
      </c>
      <c r="BW5" s="583" t="s">
        <v>76</v>
      </c>
      <c r="BX5" s="605" t="s">
        <v>5</v>
      </c>
      <c r="BY5" s="248" t="s">
        <v>17</v>
      </c>
      <c r="BZ5" s="249" t="s">
        <v>18</v>
      </c>
      <c r="CA5" s="249" t="s">
        <v>19</v>
      </c>
      <c r="CB5" s="583" t="s">
        <v>76</v>
      </c>
      <c r="CC5" s="605" t="s">
        <v>5</v>
      </c>
    </row>
    <row r="6" spans="1:81" ht="20.100000000000001" customHeight="1" x14ac:dyDescent="0.25">
      <c r="A6" s="210">
        <v>44092</v>
      </c>
      <c r="B6" s="470">
        <f>SUM(C6:F6)</f>
        <v>1213</v>
      </c>
      <c r="C6" s="487">
        <v>286</v>
      </c>
      <c r="D6" s="488">
        <v>236</v>
      </c>
      <c r="E6" s="488">
        <v>683</v>
      </c>
      <c r="F6" s="489">
        <f>J6</f>
        <v>8</v>
      </c>
      <c r="G6" s="471">
        <v>286</v>
      </c>
      <c r="H6" s="472">
        <v>236</v>
      </c>
      <c r="I6" s="472">
        <v>683</v>
      </c>
      <c r="J6" s="472">
        <v>8</v>
      </c>
      <c r="K6" s="609">
        <f>SUM(G6:J6)</f>
        <v>1213</v>
      </c>
      <c r="L6" s="473"/>
      <c r="M6" s="474"/>
      <c r="N6" s="474"/>
      <c r="O6" s="474"/>
      <c r="P6" s="616"/>
      <c r="Q6" s="474"/>
      <c r="R6" s="474"/>
      <c r="S6" s="474"/>
      <c r="T6" s="474"/>
      <c r="U6" s="616"/>
      <c r="V6" s="474"/>
      <c r="W6" s="474"/>
      <c r="X6" s="474"/>
      <c r="Y6" s="474"/>
      <c r="Z6" s="616"/>
      <c r="AA6" s="474"/>
      <c r="AB6" s="474"/>
      <c r="AC6" s="474"/>
      <c r="AD6" s="474"/>
      <c r="AE6" s="616"/>
      <c r="AF6" s="474"/>
      <c r="AG6" s="474"/>
      <c r="AH6" s="474"/>
      <c r="AI6" s="474"/>
      <c r="AJ6" s="616"/>
      <c r="AK6" s="474"/>
      <c r="AL6" s="474"/>
      <c r="AM6" s="474"/>
      <c r="AN6" s="474"/>
      <c r="AO6" s="616"/>
      <c r="AP6" s="474"/>
      <c r="AQ6" s="474"/>
      <c r="AR6" s="474"/>
      <c r="AS6" s="474"/>
      <c r="AT6" s="616"/>
      <c r="AU6" s="474"/>
      <c r="AV6" s="474"/>
      <c r="AW6" s="474"/>
      <c r="AX6" s="474"/>
      <c r="AY6" s="616"/>
      <c r="AZ6" s="474"/>
      <c r="BA6" s="474"/>
      <c r="BB6" s="474"/>
      <c r="BC6" s="474"/>
      <c r="BD6" s="616"/>
      <c r="BE6" s="474"/>
      <c r="BF6" s="474"/>
      <c r="BG6" s="474"/>
      <c r="BH6" s="474"/>
      <c r="BI6" s="616"/>
      <c r="BJ6" s="474"/>
      <c r="BK6" s="474"/>
      <c r="BL6" s="474"/>
      <c r="BM6" s="474"/>
      <c r="BN6" s="616"/>
      <c r="BO6" s="474"/>
      <c r="BP6" s="474"/>
      <c r="BQ6" s="474"/>
      <c r="BR6" s="474"/>
      <c r="BS6" s="616"/>
      <c r="BT6" s="474"/>
      <c r="BU6" s="474"/>
      <c r="BV6" s="474"/>
      <c r="BW6" s="474"/>
      <c r="BX6" s="616"/>
      <c r="BY6" s="474"/>
      <c r="BZ6" s="474"/>
      <c r="CA6" s="474"/>
      <c r="CB6" s="474"/>
      <c r="CC6" s="616"/>
    </row>
    <row r="7" spans="1:81" ht="20.100000000000001" customHeight="1" x14ac:dyDescent="0.25">
      <c r="A7" s="363">
        <v>44093</v>
      </c>
      <c r="B7" s="475">
        <f>SUM(C7:F7)</f>
        <v>1048</v>
      </c>
      <c r="C7" s="490">
        <v>249</v>
      </c>
      <c r="D7" s="490">
        <v>181</v>
      </c>
      <c r="E7" s="490">
        <v>611</v>
      </c>
      <c r="F7" s="491">
        <f>J7</f>
        <v>7</v>
      </c>
      <c r="G7" s="476">
        <v>249</v>
      </c>
      <c r="H7" s="476">
        <v>181</v>
      </c>
      <c r="I7" s="476">
        <v>611</v>
      </c>
      <c r="J7" s="476">
        <v>7</v>
      </c>
      <c r="K7" s="610">
        <f>SUM(G7:J7)</f>
        <v>1048</v>
      </c>
      <c r="L7" s="477"/>
      <c r="M7" s="435"/>
      <c r="N7" s="435"/>
      <c r="O7" s="435"/>
      <c r="P7" s="493"/>
      <c r="Q7" s="435"/>
      <c r="R7" s="435"/>
      <c r="S7" s="435"/>
      <c r="T7" s="435"/>
      <c r="U7" s="493"/>
      <c r="V7" s="435"/>
      <c r="W7" s="435"/>
      <c r="X7" s="435"/>
      <c r="Y7" s="435"/>
      <c r="Z7" s="493"/>
      <c r="AA7" s="435"/>
      <c r="AB7" s="435"/>
      <c r="AC7" s="435"/>
      <c r="AD7" s="435"/>
      <c r="AE7" s="493"/>
      <c r="AF7" s="435"/>
      <c r="AG7" s="435"/>
      <c r="AH7" s="435"/>
      <c r="AI7" s="435"/>
      <c r="AJ7" s="493"/>
      <c r="AK7" s="435"/>
      <c r="AL7" s="435"/>
      <c r="AM7" s="435"/>
      <c r="AN7" s="435"/>
      <c r="AO7" s="493"/>
      <c r="AP7" s="435"/>
      <c r="AQ7" s="435"/>
      <c r="AR7" s="435"/>
      <c r="AS7" s="435"/>
      <c r="AT7" s="493"/>
      <c r="AU7" s="435"/>
      <c r="AV7" s="435"/>
      <c r="AW7" s="435"/>
      <c r="AX7" s="435"/>
      <c r="AY7" s="493"/>
      <c r="AZ7" s="435"/>
      <c r="BA7" s="435"/>
      <c r="BB7" s="435"/>
      <c r="BC7" s="435"/>
      <c r="BD7" s="493"/>
      <c r="BE7" s="435"/>
      <c r="BF7" s="435"/>
      <c r="BG7" s="435"/>
      <c r="BH7" s="435"/>
      <c r="BI7" s="493"/>
      <c r="BJ7" s="435"/>
      <c r="BK7" s="435"/>
      <c r="BL7" s="435"/>
      <c r="BM7" s="435"/>
      <c r="BN7" s="493"/>
      <c r="BO7" s="435"/>
      <c r="BP7" s="435"/>
      <c r="BQ7" s="435"/>
      <c r="BR7" s="435"/>
      <c r="BS7" s="493"/>
      <c r="BT7" s="435"/>
      <c r="BU7" s="435"/>
      <c r="BV7" s="435"/>
      <c r="BW7" s="435"/>
      <c r="BX7" s="493"/>
      <c r="BY7" s="435"/>
      <c r="BZ7" s="435"/>
      <c r="CA7" s="435"/>
      <c r="CB7" s="435"/>
      <c r="CC7" s="493"/>
    </row>
    <row r="8" spans="1:81" ht="20.100000000000001" customHeight="1" x14ac:dyDescent="0.2">
      <c r="A8" s="352">
        <v>44094</v>
      </c>
      <c r="B8" s="478"/>
      <c r="C8" s="494"/>
      <c r="D8" s="494"/>
      <c r="E8" s="494"/>
      <c r="F8" s="495"/>
      <c r="G8" s="448"/>
      <c r="H8" s="448"/>
      <c r="I8" s="448"/>
      <c r="J8" s="448"/>
      <c r="K8" s="495"/>
      <c r="L8" s="448"/>
      <c r="M8" s="448"/>
      <c r="N8" s="448"/>
      <c r="O8" s="448"/>
      <c r="P8" s="495"/>
      <c r="Q8" s="448"/>
      <c r="R8" s="448"/>
      <c r="S8" s="448"/>
      <c r="T8" s="448"/>
      <c r="U8" s="495"/>
      <c r="V8" s="448"/>
      <c r="W8" s="448"/>
      <c r="X8" s="448"/>
      <c r="Y8" s="448"/>
      <c r="Z8" s="495"/>
      <c r="AA8" s="448"/>
      <c r="AB8" s="448"/>
      <c r="AC8" s="448"/>
      <c r="AD8" s="448"/>
      <c r="AE8" s="495"/>
      <c r="AF8" s="448"/>
      <c r="AG8" s="448"/>
      <c r="AH8" s="448"/>
      <c r="AI8" s="448"/>
      <c r="AJ8" s="495"/>
      <c r="AK8" s="448"/>
      <c r="AL8" s="448"/>
      <c r="AM8" s="448"/>
      <c r="AN8" s="448"/>
      <c r="AO8" s="495"/>
      <c r="AP8" s="448"/>
      <c r="AQ8" s="448"/>
      <c r="AR8" s="448"/>
      <c r="AS8" s="448"/>
      <c r="AT8" s="495"/>
      <c r="AU8" s="448"/>
      <c r="AV8" s="448"/>
      <c r="AW8" s="448"/>
      <c r="AX8" s="448"/>
      <c r="AY8" s="495"/>
      <c r="AZ8" s="448"/>
      <c r="BA8" s="448"/>
      <c r="BB8" s="448"/>
      <c r="BC8" s="448"/>
      <c r="BD8" s="495"/>
      <c r="BE8" s="448"/>
      <c r="BF8" s="448"/>
      <c r="BG8" s="448"/>
      <c r="BH8" s="448"/>
      <c r="BI8" s="495"/>
      <c r="BJ8" s="448"/>
      <c r="BK8" s="448"/>
      <c r="BL8" s="448"/>
      <c r="BM8" s="448"/>
      <c r="BN8" s="495"/>
      <c r="BO8" s="448"/>
      <c r="BP8" s="448"/>
      <c r="BQ8" s="448"/>
      <c r="BR8" s="448"/>
      <c r="BS8" s="495"/>
      <c r="BT8" s="448"/>
      <c r="BU8" s="448"/>
      <c r="BV8" s="448"/>
      <c r="BW8" s="448"/>
      <c r="BX8" s="495"/>
      <c r="BY8" s="448"/>
      <c r="BZ8" s="448"/>
      <c r="CA8" s="448"/>
      <c r="CB8" s="448"/>
      <c r="CC8" s="495"/>
    </row>
    <row r="9" spans="1:81" ht="20.100000000000001" customHeight="1" x14ac:dyDescent="0.2">
      <c r="A9" s="210">
        <v>44095</v>
      </c>
      <c r="B9" s="470">
        <f t="shared" ref="B9:B49" si="0">SUM(C9:F9)</f>
        <v>1003</v>
      </c>
      <c r="C9" s="496">
        <f t="shared" ref="C9:F10" si="1">G9</f>
        <v>234</v>
      </c>
      <c r="D9" s="496">
        <f t="shared" si="1"/>
        <v>224</v>
      </c>
      <c r="E9" s="496">
        <f t="shared" si="1"/>
        <v>531</v>
      </c>
      <c r="F9" s="497">
        <f t="shared" si="1"/>
        <v>14</v>
      </c>
      <c r="G9" s="428">
        <v>234</v>
      </c>
      <c r="H9" s="428">
        <v>224</v>
      </c>
      <c r="I9" s="428">
        <v>531</v>
      </c>
      <c r="J9" s="428">
        <v>14</v>
      </c>
      <c r="K9" s="611">
        <f>SUM(G9:J9)</f>
        <v>1003</v>
      </c>
      <c r="L9" s="453"/>
      <c r="M9" s="453"/>
      <c r="N9" s="453"/>
      <c r="O9" s="453"/>
      <c r="P9" s="617"/>
      <c r="Q9" s="453"/>
      <c r="R9" s="453"/>
      <c r="S9" s="453"/>
      <c r="T9" s="453"/>
      <c r="U9" s="617"/>
      <c r="V9" s="453"/>
      <c r="W9" s="453"/>
      <c r="X9" s="453"/>
      <c r="Y9" s="453"/>
      <c r="Z9" s="617"/>
      <c r="AA9" s="453"/>
      <c r="AB9" s="453"/>
      <c r="AC9" s="453"/>
      <c r="AD9" s="453"/>
      <c r="AE9" s="617"/>
      <c r="AF9" s="453"/>
      <c r="AG9" s="453"/>
      <c r="AH9" s="453"/>
      <c r="AI9" s="453"/>
      <c r="AJ9" s="617"/>
      <c r="AK9" s="453"/>
      <c r="AL9" s="453"/>
      <c r="AM9" s="453"/>
      <c r="AN9" s="453"/>
      <c r="AO9" s="617"/>
      <c r="AP9" s="453"/>
      <c r="AQ9" s="453"/>
      <c r="AR9" s="453"/>
      <c r="AS9" s="453"/>
      <c r="AT9" s="617"/>
      <c r="AU9" s="453"/>
      <c r="AV9" s="453"/>
      <c r="AW9" s="453"/>
      <c r="AX9" s="453"/>
      <c r="AY9" s="617"/>
      <c r="AZ9" s="453"/>
      <c r="BA9" s="453"/>
      <c r="BB9" s="453"/>
      <c r="BC9" s="453"/>
      <c r="BD9" s="617"/>
      <c r="BE9" s="453"/>
      <c r="BF9" s="453"/>
      <c r="BG9" s="453"/>
      <c r="BH9" s="453"/>
      <c r="BI9" s="617"/>
      <c r="BJ9" s="453"/>
      <c r="BK9" s="453"/>
      <c r="BL9" s="453"/>
      <c r="BM9" s="453"/>
      <c r="BN9" s="617"/>
      <c r="BO9" s="453"/>
      <c r="BP9" s="453"/>
      <c r="BQ9" s="453"/>
      <c r="BR9" s="453"/>
      <c r="BS9" s="617"/>
      <c r="BT9" s="453"/>
      <c r="BU9" s="453"/>
      <c r="BV9" s="453"/>
      <c r="BW9" s="453"/>
      <c r="BX9" s="617"/>
      <c r="BY9" s="453"/>
      <c r="BZ9" s="453"/>
      <c r="CA9" s="453"/>
      <c r="CB9" s="453"/>
      <c r="CC9" s="617"/>
    </row>
    <row r="10" spans="1:81" ht="20.100000000000001" customHeight="1" x14ac:dyDescent="0.2">
      <c r="A10" s="210">
        <v>44096</v>
      </c>
      <c r="B10" s="470">
        <f t="shared" si="0"/>
        <v>901</v>
      </c>
      <c r="C10" s="496">
        <f t="shared" si="1"/>
        <v>187</v>
      </c>
      <c r="D10" s="496">
        <f t="shared" si="1"/>
        <v>195</v>
      </c>
      <c r="E10" s="496">
        <f t="shared" si="1"/>
        <v>505</v>
      </c>
      <c r="F10" s="497">
        <f t="shared" si="1"/>
        <v>14</v>
      </c>
      <c r="G10" s="476">
        <v>187</v>
      </c>
      <c r="H10" s="476">
        <v>195</v>
      </c>
      <c r="I10" s="476">
        <v>505</v>
      </c>
      <c r="J10" s="476">
        <v>14</v>
      </c>
      <c r="K10" s="611">
        <f>SUM(G10:J10)</f>
        <v>901</v>
      </c>
      <c r="L10" s="435"/>
      <c r="M10" s="435"/>
      <c r="N10" s="435"/>
      <c r="O10" s="435"/>
      <c r="P10" s="493"/>
      <c r="Q10" s="435"/>
      <c r="R10" s="435"/>
      <c r="S10" s="435"/>
      <c r="T10" s="435"/>
      <c r="U10" s="493"/>
      <c r="V10" s="435"/>
      <c r="W10" s="435"/>
      <c r="X10" s="435"/>
      <c r="Y10" s="435"/>
      <c r="Z10" s="493"/>
      <c r="AA10" s="435"/>
      <c r="AB10" s="435"/>
      <c r="AC10" s="435"/>
      <c r="AD10" s="435"/>
      <c r="AE10" s="493"/>
      <c r="AF10" s="435"/>
      <c r="AG10" s="435"/>
      <c r="AH10" s="435"/>
      <c r="AI10" s="435"/>
      <c r="AJ10" s="493"/>
      <c r="AK10" s="435"/>
      <c r="AL10" s="435"/>
      <c r="AM10" s="435"/>
      <c r="AN10" s="435"/>
      <c r="AO10" s="493"/>
      <c r="AP10" s="435"/>
      <c r="AQ10" s="435"/>
      <c r="AR10" s="435"/>
      <c r="AS10" s="435"/>
      <c r="AT10" s="493"/>
      <c r="AU10" s="435"/>
      <c r="AV10" s="435"/>
      <c r="AW10" s="435"/>
      <c r="AX10" s="435"/>
      <c r="AY10" s="493"/>
      <c r="AZ10" s="435"/>
      <c r="BA10" s="435"/>
      <c r="BB10" s="435"/>
      <c r="BC10" s="435"/>
      <c r="BD10" s="493"/>
      <c r="BE10" s="435"/>
      <c r="BF10" s="435"/>
      <c r="BG10" s="435"/>
      <c r="BH10" s="435"/>
      <c r="BI10" s="493"/>
      <c r="BJ10" s="435"/>
      <c r="BK10" s="435"/>
      <c r="BL10" s="435"/>
      <c r="BM10" s="435"/>
      <c r="BN10" s="493"/>
      <c r="BO10" s="435"/>
      <c r="BP10" s="435"/>
      <c r="BQ10" s="435"/>
      <c r="BR10" s="435"/>
      <c r="BS10" s="493"/>
      <c r="BT10" s="435"/>
      <c r="BU10" s="435"/>
      <c r="BV10" s="435"/>
      <c r="BW10" s="435"/>
      <c r="BX10" s="493"/>
      <c r="BY10" s="435"/>
      <c r="BZ10" s="435"/>
      <c r="CA10" s="435"/>
      <c r="CB10" s="435"/>
      <c r="CC10" s="493"/>
    </row>
    <row r="11" spans="1:81" ht="20.100000000000001" customHeight="1" x14ac:dyDescent="0.2">
      <c r="A11" s="210">
        <v>44097</v>
      </c>
      <c r="B11" s="470">
        <f>SUM(G11:J11)</f>
        <v>1121</v>
      </c>
      <c r="C11" s="496">
        <f t="shared" ref="C11" si="2">G11</f>
        <v>260</v>
      </c>
      <c r="D11" s="496">
        <f t="shared" ref="D11" si="3">H11</f>
        <v>267</v>
      </c>
      <c r="E11" s="496">
        <f t="shared" ref="E11" si="4">I11</f>
        <v>587</v>
      </c>
      <c r="F11" s="497">
        <f t="shared" ref="F11" si="5">J11</f>
        <v>7</v>
      </c>
      <c r="G11" s="515">
        <v>260</v>
      </c>
      <c r="H11" s="514">
        <v>267</v>
      </c>
      <c r="I11" s="514">
        <v>587</v>
      </c>
      <c r="J11" s="514">
        <v>7</v>
      </c>
      <c r="K11" s="611">
        <f>SUM(G11:J11)</f>
        <v>1121</v>
      </c>
      <c r="L11" s="435"/>
      <c r="M11" s="435"/>
      <c r="N11" s="435"/>
      <c r="O11" s="435"/>
      <c r="P11" s="493"/>
      <c r="Q11" s="435"/>
      <c r="R11" s="435"/>
      <c r="S11" s="435"/>
      <c r="T11" s="435"/>
      <c r="U11" s="493"/>
      <c r="V11" s="435"/>
      <c r="W11" s="435"/>
      <c r="X11" s="435"/>
      <c r="Y11" s="435"/>
      <c r="Z11" s="493"/>
      <c r="AA11" s="435"/>
      <c r="AB11" s="435"/>
      <c r="AC11" s="435"/>
      <c r="AD11" s="435"/>
      <c r="AE11" s="493"/>
      <c r="AF11" s="435"/>
      <c r="AG11" s="435"/>
      <c r="AH11" s="435"/>
      <c r="AI11" s="435"/>
      <c r="AJ11" s="493"/>
      <c r="AK11" s="435"/>
      <c r="AL11" s="435"/>
      <c r="AM11" s="435"/>
      <c r="AN11" s="435"/>
      <c r="AO11" s="493"/>
      <c r="AP11" s="435"/>
      <c r="AQ11" s="435"/>
      <c r="AR11" s="435"/>
      <c r="AS11" s="435"/>
      <c r="AT11" s="493"/>
      <c r="AU11" s="435"/>
      <c r="AV11" s="435"/>
      <c r="AW11" s="435"/>
      <c r="AX11" s="435"/>
      <c r="AY11" s="493"/>
      <c r="AZ11" s="435"/>
      <c r="BA11" s="435"/>
      <c r="BB11" s="435"/>
      <c r="BC11" s="435"/>
      <c r="BD11" s="493"/>
      <c r="BE11" s="435"/>
      <c r="BF11" s="435"/>
      <c r="BG11" s="435"/>
      <c r="BH11" s="435"/>
      <c r="BI11" s="493"/>
      <c r="BJ11" s="435"/>
      <c r="BK11" s="435"/>
      <c r="BL11" s="435"/>
      <c r="BM11" s="435"/>
      <c r="BN11" s="493"/>
      <c r="BO11" s="435"/>
      <c r="BP11" s="435"/>
      <c r="BQ11" s="435"/>
      <c r="BR11" s="435"/>
      <c r="BS11" s="493"/>
      <c r="BT11" s="435"/>
      <c r="BU11" s="435"/>
      <c r="BV11" s="435"/>
      <c r="BW11" s="435"/>
      <c r="BX11" s="493"/>
      <c r="BY11" s="435"/>
      <c r="BZ11" s="435"/>
      <c r="CA11" s="435"/>
      <c r="CB11" s="435"/>
      <c r="CC11" s="493"/>
    </row>
    <row r="12" spans="1:81" ht="20.100000000000001" customHeight="1" x14ac:dyDescent="0.2">
      <c r="A12" s="210">
        <v>44098</v>
      </c>
      <c r="B12" s="470">
        <f t="shared" si="0"/>
        <v>1226</v>
      </c>
      <c r="C12" s="496">
        <f t="shared" ref="C12" si="6">G12</f>
        <v>224</v>
      </c>
      <c r="D12" s="496">
        <f t="shared" ref="D12" si="7">H12</f>
        <v>295</v>
      </c>
      <c r="E12" s="496">
        <f t="shared" ref="E12" si="8">I12</f>
        <v>698</v>
      </c>
      <c r="F12" s="497">
        <f t="shared" ref="F12" si="9">J12</f>
        <v>9</v>
      </c>
      <c r="G12" s="476">
        <v>224</v>
      </c>
      <c r="H12" s="476">
        <v>295</v>
      </c>
      <c r="I12" s="476">
        <v>698</v>
      </c>
      <c r="J12" s="476">
        <v>9</v>
      </c>
      <c r="K12" s="601">
        <f>SUM(G12:J12)</f>
        <v>1226</v>
      </c>
      <c r="L12" s="435"/>
      <c r="M12" s="435"/>
      <c r="N12" s="435"/>
      <c r="O12" s="435"/>
      <c r="P12" s="493"/>
      <c r="Q12" s="435"/>
      <c r="R12" s="435"/>
      <c r="S12" s="435"/>
      <c r="T12" s="435"/>
      <c r="U12" s="493"/>
      <c r="V12" s="435"/>
      <c r="W12" s="435"/>
      <c r="X12" s="435"/>
      <c r="Y12" s="435"/>
      <c r="Z12" s="493"/>
      <c r="AA12" s="435"/>
      <c r="AB12" s="435"/>
      <c r="AC12" s="435"/>
      <c r="AD12" s="435"/>
      <c r="AE12" s="493"/>
      <c r="AF12" s="435"/>
      <c r="AG12" s="435"/>
      <c r="AH12" s="435"/>
      <c r="AI12" s="435"/>
      <c r="AJ12" s="493"/>
      <c r="AK12" s="435"/>
      <c r="AL12" s="435"/>
      <c r="AM12" s="435"/>
      <c r="AN12" s="435"/>
      <c r="AO12" s="493"/>
      <c r="AP12" s="435"/>
      <c r="AQ12" s="435"/>
      <c r="AR12" s="435"/>
      <c r="AS12" s="435"/>
      <c r="AT12" s="493"/>
      <c r="AU12" s="435"/>
      <c r="AV12" s="435"/>
      <c r="AW12" s="435"/>
      <c r="AX12" s="435"/>
      <c r="AY12" s="493"/>
      <c r="AZ12" s="435"/>
      <c r="BA12" s="435"/>
      <c r="BB12" s="435"/>
      <c r="BC12" s="435"/>
      <c r="BD12" s="493"/>
      <c r="BE12" s="435"/>
      <c r="BF12" s="435"/>
      <c r="BG12" s="435"/>
      <c r="BH12" s="435"/>
      <c r="BI12" s="493"/>
      <c r="BJ12" s="435"/>
      <c r="BK12" s="435"/>
      <c r="BL12" s="435"/>
      <c r="BM12" s="435"/>
      <c r="BN12" s="493"/>
      <c r="BO12" s="435"/>
      <c r="BP12" s="435"/>
      <c r="BQ12" s="435"/>
      <c r="BR12" s="435"/>
      <c r="BS12" s="493"/>
      <c r="BT12" s="435"/>
      <c r="BU12" s="435"/>
      <c r="BV12" s="435"/>
      <c r="BW12" s="435"/>
      <c r="BX12" s="493"/>
      <c r="BY12" s="435"/>
      <c r="BZ12" s="435"/>
      <c r="CA12" s="435"/>
      <c r="CB12" s="435"/>
      <c r="CC12" s="493"/>
    </row>
    <row r="13" spans="1:81" ht="20.100000000000001" customHeight="1" x14ac:dyDescent="0.2">
      <c r="A13" s="210">
        <v>44099</v>
      </c>
      <c r="B13" s="470">
        <f>SUM(C13:F13)</f>
        <v>1264</v>
      </c>
      <c r="C13" s="496">
        <f t="shared" ref="C13" si="10">G13</f>
        <v>357</v>
      </c>
      <c r="D13" s="496">
        <f t="shared" ref="D13" si="11">H13</f>
        <v>321</v>
      </c>
      <c r="E13" s="496">
        <f t="shared" ref="E13" si="12">I13</f>
        <v>577</v>
      </c>
      <c r="F13" s="497">
        <f t="shared" ref="F13" si="13">J13</f>
        <v>9</v>
      </c>
      <c r="G13" s="476">
        <v>357</v>
      </c>
      <c r="H13" s="476">
        <v>321</v>
      </c>
      <c r="I13" s="476">
        <v>577</v>
      </c>
      <c r="J13" s="476">
        <v>9</v>
      </c>
      <c r="K13" s="601">
        <f>SUM(G13:J13)</f>
        <v>1264</v>
      </c>
      <c r="L13" s="435"/>
      <c r="M13" s="435"/>
      <c r="N13" s="435"/>
      <c r="O13" s="435"/>
      <c r="P13" s="493"/>
      <c r="Q13" s="435"/>
      <c r="R13" s="435"/>
      <c r="S13" s="435"/>
      <c r="T13" s="435"/>
      <c r="U13" s="493"/>
      <c r="V13" s="435"/>
      <c r="W13" s="435"/>
      <c r="X13" s="435"/>
      <c r="Y13" s="435"/>
      <c r="Z13" s="493"/>
      <c r="AA13" s="435"/>
      <c r="AB13" s="435"/>
      <c r="AC13" s="435"/>
      <c r="AD13" s="435"/>
      <c r="AE13" s="493"/>
      <c r="AF13" s="435"/>
      <c r="AG13" s="435"/>
      <c r="AH13" s="435"/>
      <c r="AI13" s="435"/>
      <c r="AJ13" s="493"/>
      <c r="AK13" s="435"/>
      <c r="AL13" s="435"/>
      <c r="AM13" s="435"/>
      <c r="AN13" s="435"/>
      <c r="AO13" s="493"/>
      <c r="AP13" s="435"/>
      <c r="AQ13" s="435"/>
      <c r="AR13" s="435"/>
      <c r="AS13" s="435"/>
      <c r="AT13" s="493"/>
      <c r="AU13" s="435"/>
      <c r="AV13" s="435"/>
      <c r="AW13" s="435"/>
      <c r="AX13" s="435"/>
      <c r="AY13" s="493"/>
      <c r="AZ13" s="435"/>
      <c r="BA13" s="435"/>
      <c r="BB13" s="435"/>
      <c r="BC13" s="435"/>
      <c r="BD13" s="493"/>
      <c r="BE13" s="435"/>
      <c r="BF13" s="435"/>
      <c r="BG13" s="435"/>
      <c r="BH13" s="435"/>
      <c r="BI13" s="493"/>
      <c r="BJ13" s="435"/>
      <c r="BK13" s="435"/>
      <c r="BL13" s="435"/>
      <c r="BM13" s="435"/>
      <c r="BN13" s="493"/>
      <c r="BO13" s="435"/>
      <c r="BP13" s="435"/>
      <c r="BQ13" s="435"/>
      <c r="BR13" s="435"/>
      <c r="BS13" s="493"/>
      <c r="BT13" s="435"/>
      <c r="BU13" s="435"/>
      <c r="BV13" s="435"/>
      <c r="BW13" s="435"/>
      <c r="BX13" s="493"/>
      <c r="BY13" s="435"/>
      <c r="BZ13" s="435"/>
      <c r="CA13" s="435"/>
      <c r="CB13" s="435"/>
      <c r="CC13" s="493"/>
    </row>
    <row r="14" spans="1:81" s="105" customFormat="1" ht="20.100000000000001" customHeight="1" x14ac:dyDescent="0.2">
      <c r="A14" s="352">
        <v>44100</v>
      </c>
      <c r="B14" s="478"/>
      <c r="C14" s="492"/>
      <c r="D14" s="492"/>
      <c r="E14" s="492"/>
      <c r="F14" s="493"/>
      <c r="G14" s="435"/>
      <c r="H14" s="435"/>
      <c r="I14" s="435"/>
      <c r="J14" s="435"/>
      <c r="K14" s="493"/>
      <c r="L14" s="435"/>
      <c r="M14" s="435"/>
      <c r="N14" s="435"/>
      <c r="O14" s="435"/>
      <c r="P14" s="493"/>
      <c r="Q14" s="435"/>
      <c r="R14" s="435"/>
      <c r="S14" s="435"/>
      <c r="T14" s="435"/>
      <c r="U14" s="493"/>
      <c r="V14" s="435"/>
      <c r="W14" s="435"/>
      <c r="X14" s="435"/>
      <c r="Y14" s="435"/>
      <c r="Z14" s="493"/>
      <c r="AA14" s="435"/>
      <c r="AB14" s="435"/>
      <c r="AC14" s="435"/>
      <c r="AD14" s="435"/>
      <c r="AE14" s="493"/>
      <c r="AF14" s="435"/>
      <c r="AG14" s="435"/>
      <c r="AH14" s="435"/>
      <c r="AI14" s="435"/>
      <c r="AJ14" s="493"/>
      <c r="AK14" s="435"/>
      <c r="AL14" s="435"/>
      <c r="AM14" s="435"/>
      <c r="AN14" s="435"/>
      <c r="AO14" s="493"/>
      <c r="AP14" s="435"/>
      <c r="AQ14" s="435"/>
      <c r="AR14" s="435"/>
      <c r="AS14" s="435"/>
      <c r="AT14" s="493"/>
      <c r="AU14" s="435"/>
      <c r="AV14" s="435"/>
      <c r="AW14" s="435"/>
      <c r="AX14" s="435"/>
      <c r="AY14" s="493"/>
      <c r="AZ14" s="435"/>
      <c r="BA14" s="435"/>
      <c r="BB14" s="435"/>
      <c r="BC14" s="435"/>
      <c r="BD14" s="493"/>
      <c r="BE14" s="435"/>
      <c r="BF14" s="435"/>
      <c r="BG14" s="435"/>
      <c r="BH14" s="435"/>
      <c r="BI14" s="493"/>
      <c r="BJ14" s="435"/>
      <c r="BK14" s="435"/>
      <c r="BL14" s="435"/>
      <c r="BM14" s="435"/>
      <c r="BN14" s="493"/>
      <c r="BO14" s="435"/>
      <c r="BP14" s="435"/>
      <c r="BQ14" s="435"/>
      <c r="BR14" s="435"/>
      <c r="BS14" s="493"/>
      <c r="BT14" s="435"/>
      <c r="BU14" s="435"/>
      <c r="BV14" s="435"/>
      <c r="BW14" s="435"/>
      <c r="BX14" s="493"/>
      <c r="BY14" s="435"/>
      <c r="BZ14" s="435"/>
      <c r="CA14" s="435"/>
      <c r="CB14" s="435"/>
      <c r="CC14" s="493"/>
    </row>
    <row r="15" spans="1:81" ht="20.100000000000001" customHeight="1" x14ac:dyDescent="0.2">
      <c r="A15" s="352">
        <v>44101</v>
      </c>
      <c r="B15" s="478"/>
      <c r="C15" s="492"/>
      <c r="D15" s="492"/>
      <c r="E15" s="492"/>
      <c r="F15" s="493"/>
      <c r="G15" s="435"/>
      <c r="H15" s="435"/>
      <c r="I15" s="435"/>
      <c r="J15" s="435"/>
      <c r="K15" s="493"/>
      <c r="L15" s="435"/>
      <c r="M15" s="435"/>
      <c r="N15" s="435"/>
      <c r="O15" s="435"/>
      <c r="P15" s="493"/>
      <c r="Q15" s="435"/>
      <c r="R15" s="435"/>
      <c r="S15" s="435"/>
      <c r="T15" s="435"/>
      <c r="U15" s="493"/>
      <c r="V15" s="435"/>
      <c r="W15" s="435"/>
      <c r="X15" s="435"/>
      <c r="Y15" s="435"/>
      <c r="Z15" s="493"/>
      <c r="AA15" s="435"/>
      <c r="AB15" s="435"/>
      <c r="AC15" s="435"/>
      <c r="AD15" s="435"/>
      <c r="AE15" s="493"/>
      <c r="AF15" s="435"/>
      <c r="AG15" s="435"/>
      <c r="AH15" s="435"/>
      <c r="AI15" s="435"/>
      <c r="AJ15" s="493"/>
      <c r="AK15" s="435"/>
      <c r="AL15" s="435"/>
      <c r="AM15" s="435"/>
      <c r="AN15" s="435"/>
      <c r="AO15" s="493"/>
      <c r="AP15" s="435"/>
      <c r="AQ15" s="435"/>
      <c r="AR15" s="435"/>
      <c r="AS15" s="435"/>
      <c r="AT15" s="493"/>
      <c r="AU15" s="435"/>
      <c r="AV15" s="435"/>
      <c r="AW15" s="435"/>
      <c r="AX15" s="435"/>
      <c r="AY15" s="493"/>
      <c r="AZ15" s="435"/>
      <c r="BA15" s="435"/>
      <c r="BB15" s="435"/>
      <c r="BC15" s="435"/>
      <c r="BD15" s="493"/>
      <c r="BE15" s="435"/>
      <c r="BF15" s="435"/>
      <c r="BG15" s="435"/>
      <c r="BH15" s="435"/>
      <c r="BI15" s="493"/>
      <c r="BJ15" s="435"/>
      <c r="BK15" s="435"/>
      <c r="BL15" s="435"/>
      <c r="BM15" s="435"/>
      <c r="BN15" s="493"/>
      <c r="BO15" s="435"/>
      <c r="BP15" s="435"/>
      <c r="BQ15" s="435"/>
      <c r="BR15" s="435"/>
      <c r="BS15" s="493"/>
      <c r="BT15" s="435"/>
      <c r="BU15" s="435"/>
      <c r="BV15" s="435"/>
      <c r="BW15" s="435"/>
      <c r="BX15" s="493"/>
      <c r="BY15" s="435"/>
      <c r="BZ15" s="435"/>
      <c r="CA15" s="435"/>
      <c r="CB15" s="435"/>
      <c r="CC15" s="493"/>
    </row>
    <row r="16" spans="1:81" ht="20.100000000000001" customHeight="1" x14ac:dyDescent="0.25">
      <c r="A16" s="210">
        <v>44102</v>
      </c>
      <c r="B16" s="470">
        <f>SUM(G16:J16)</f>
        <v>1209</v>
      </c>
      <c r="C16" s="536">
        <f>G16</f>
        <v>275</v>
      </c>
      <c r="D16" s="536">
        <f>H16</f>
        <v>259</v>
      </c>
      <c r="E16" s="536">
        <f>I16</f>
        <v>670</v>
      </c>
      <c r="F16" s="536">
        <f>J16</f>
        <v>5</v>
      </c>
      <c r="G16" s="515">
        <v>275</v>
      </c>
      <c r="H16" s="514">
        <v>259</v>
      </c>
      <c r="I16" s="514">
        <v>670</v>
      </c>
      <c r="J16" s="514">
        <v>5</v>
      </c>
      <c r="K16" s="601">
        <f>SUM(G16:J16)</f>
        <v>1209</v>
      </c>
      <c r="L16" s="435"/>
      <c r="M16" s="435"/>
      <c r="N16" s="435"/>
      <c r="O16" s="435"/>
      <c r="P16" s="493"/>
      <c r="Q16" s="435"/>
      <c r="R16" s="435"/>
      <c r="S16" s="435"/>
      <c r="T16" s="435"/>
      <c r="U16" s="493"/>
      <c r="V16" s="435"/>
      <c r="W16" s="435"/>
      <c r="X16" s="435"/>
      <c r="Y16" s="435"/>
      <c r="Z16" s="493"/>
      <c r="AA16" s="435"/>
      <c r="AB16" s="435"/>
      <c r="AC16" s="435"/>
      <c r="AD16" s="435"/>
      <c r="AE16" s="493"/>
      <c r="AF16" s="435"/>
      <c r="AG16" s="435"/>
      <c r="AH16" s="435"/>
      <c r="AI16" s="435"/>
      <c r="AJ16" s="493"/>
      <c r="AK16" s="435"/>
      <c r="AL16" s="435"/>
      <c r="AM16" s="435"/>
      <c r="AN16" s="435"/>
      <c r="AO16" s="493"/>
      <c r="AP16" s="435"/>
      <c r="AQ16" s="435"/>
      <c r="AR16" s="435"/>
      <c r="AS16" s="435"/>
      <c r="AT16" s="493"/>
      <c r="AU16" s="435"/>
      <c r="AV16" s="435"/>
      <c r="AW16" s="435"/>
      <c r="AX16" s="435"/>
      <c r="AY16" s="493"/>
      <c r="AZ16" s="435"/>
      <c r="BA16" s="435"/>
      <c r="BB16" s="435"/>
      <c r="BC16" s="435"/>
      <c r="BD16" s="493"/>
      <c r="BE16" s="435"/>
      <c r="BF16" s="435"/>
      <c r="BG16" s="435"/>
      <c r="BH16" s="435"/>
      <c r="BI16" s="493"/>
      <c r="BJ16" s="435"/>
      <c r="BK16" s="435"/>
      <c r="BL16" s="435"/>
      <c r="BM16" s="435"/>
      <c r="BN16" s="493"/>
      <c r="BO16" s="435"/>
      <c r="BP16" s="435"/>
      <c r="BQ16" s="435"/>
      <c r="BR16" s="435"/>
      <c r="BS16" s="493"/>
      <c r="BT16" s="435"/>
      <c r="BU16" s="435"/>
      <c r="BV16" s="435"/>
      <c r="BW16" s="435"/>
      <c r="BX16" s="493"/>
      <c r="BY16" s="435"/>
      <c r="BZ16" s="435"/>
      <c r="CA16" s="435"/>
      <c r="CB16" s="435"/>
      <c r="CC16" s="493"/>
    </row>
    <row r="17" spans="1:141" ht="20.100000000000001" customHeight="1" x14ac:dyDescent="0.2">
      <c r="A17" s="210">
        <v>44103</v>
      </c>
      <c r="B17" s="470">
        <f t="shared" si="0"/>
        <v>1270</v>
      </c>
      <c r="C17" s="498">
        <v>265</v>
      </c>
      <c r="D17" s="498">
        <v>284</v>
      </c>
      <c r="E17" s="498">
        <v>715</v>
      </c>
      <c r="F17" s="499">
        <v>6</v>
      </c>
      <c r="G17" s="476">
        <v>265</v>
      </c>
      <c r="H17" s="476">
        <v>284</v>
      </c>
      <c r="I17" s="476">
        <v>715</v>
      </c>
      <c r="J17" s="476">
        <v>6</v>
      </c>
      <c r="K17" s="601">
        <f>SUM(G17:J17)</f>
        <v>1270</v>
      </c>
      <c r="L17" s="435"/>
      <c r="M17" s="435"/>
      <c r="N17" s="435"/>
      <c r="O17" s="435"/>
      <c r="P17" s="493"/>
      <c r="Q17" s="435"/>
      <c r="R17" s="435"/>
      <c r="S17" s="435"/>
      <c r="T17" s="435"/>
      <c r="U17" s="493"/>
      <c r="V17" s="435"/>
      <c r="W17" s="435"/>
      <c r="X17" s="435"/>
      <c r="Y17" s="435"/>
      <c r="Z17" s="493"/>
      <c r="AA17" s="435"/>
      <c r="AB17" s="435"/>
      <c r="AC17" s="435"/>
      <c r="AD17" s="435"/>
      <c r="AE17" s="493"/>
      <c r="AF17" s="435"/>
      <c r="AG17" s="435"/>
      <c r="AH17" s="435"/>
      <c r="AI17" s="435"/>
      <c r="AJ17" s="493"/>
      <c r="AK17" s="435"/>
      <c r="AL17" s="435"/>
      <c r="AM17" s="435"/>
      <c r="AN17" s="435"/>
      <c r="AO17" s="493"/>
      <c r="AP17" s="435"/>
      <c r="AQ17" s="435"/>
      <c r="AR17" s="435"/>
      <c r="AS17" s="435"/>
      <c r="AT17" s="493"/>
      <c r="AU17" s="435"/>
      <c r="AV17" s="435"/>
      <c r="AW17" s="435"/>
      <c r="AX17" s="435"/>
      <c r="AY17" s="493"/>
      <c r="AZ17" s="435"/>
      <c r="BA17" s="435"/>
      <c r="BB17" s="435"/>
      <c r="BC17" s="435"/>
      <c r="BD17" s="493"/>
      <c r="BE17" s="435"/>
      <c r="BF17" s="435"/>
      <c r="BG17" s="435"/>
      <c r="BH17" s="435"/>
      <c r="BI17" s="493"/>
      <c r="BJ17" s="435"/>
      <c r="BK17" s="435"/>
      <c r="BL17" s="435"/>
      <c r="BM17" s="435"/>
      <c r="BN17" s="493"/>
      <c r="BO17" s="435"/>
      <c r="BP17" s="435"/>
      <c r="BQ17" s="435"/>
      <c r="BR17" s="435"/>
      <c r="BS17" s="493"/>
      <c r="BT17" s="435"/>
      <c r="BU17" s="435"/>
      <c r="BV17" s="435"/>
      <c r="BW17" s="435"/>
      <c r="BX17" s="493"/>
      <c r="BY17" s="435"/>
      <c r="BZ17" s="435"/>
      <c r="CA17" s="435"/>
      <c r="CB17" s="435"/>
      <c r="CC17" s="493"/>
    </row>
    <row r="18" spans="1:141" ht="20.100000000000001" customHeight="1" x14ac:dyDescent="0.2">
      <c r="A18" s="210">
        <v>44104</v>
      </c>
      <c r="B18" s="470">
        <f t="shared" si="0"/>
        <v>1222</v>
      </c>
      <c r="C18" s="498">
        <f t="shared" ref="C18:F20" si="14">G18</f>
        <v>297</v>
      </c>
      <c r="D18" s="498">
        <f t="shared" si="14"/>
        <v>290</v>
      </c>
      <c r="E18" s="498">
        <f t="shared" si="14"/>
        <v>620</v>
      </c>
      <c r="F18" s="499">
        <f t="shared" si="14"/>
        <v>15</v>
      </c>
      <c r="G18" s="476">
        <v>297</v>
      </c>
      <c r="H18" s="476">
        <v>290</v>
      </c>
      <c r="I18" s="476">
        <v>620</v>
      </c>
      <c r="J18" s="476">
        <v>15</v>
      </c>
      <c r="K18" s="601">
        <f>SUM(G18:J18)</f>
        <v>1222</v>
      </c>
      <c r="L18" s="435"/>
      <c r="M18" s="435"/>
      <c r="N18" s="435"/>
      <c r="O18" s="435"/>
      <c r="P18" s="493"/>
      <c r="Q18" s="435"/>
      <c r="R18" s="435"/>
      <c r="S18" s="435"/>
      <c r="T18" s="435"/>
      <c r="U18" s="493"/>
      <c r="V18" s="435"/>
      <c r="W18" s="435"/>
      <c r="X18" s="435"/>
      <c r="Y18" s="435"/>
      <c r="Z18" s="493"/>
      <c r="AA18" s="435"/>
      <c r="AB18" s="435"/>
      <c r="AC18" s="435"/>
      <c r="AD18" s="435"/>
      <c r="AE18" s="493"/>
      <c r="AF18" s="435"/>
      <c r="AG18" s="435"/>
      <c r="AH18" s="435"/>
      <c r="AI18" s="435"/>
      <c r="AJ18" s="493"/>
      <c r="AK18" s="435"/>
      <c r="AL18" s="435"/>
      <c r="AM18" s="435"/>
      <c r="AN18" s="435"/>
      <c r="AO18" s="493"/>
      <c r="AP18" s="435"/>
      <c r="AQ18" s="435"/>
      <c r="AR18" s="435"/>
      <c r="AS18" s="435"/>
      <c r="AT18" s="493"/>
      <c r="AU18" s="435"/>
      <c r="AV18" s="435"/>
      <c r="AW18" s="435"/>
      <c r="AX18" s="435"/>
      <c r="AY18" s="493"/>
      <c r="AZ18" s="435"/>
      <c r="BA18" s="435"/>
      <c r="BB18" s="435"/>
      <c r="BC18" s="435"/>
      <c r="BD18" s="493"/>
      <c r="BE18" s="435"/>
      <c r="BF18" s="435"/>
      <c r="BG18" s="435"/>
      <c r="BH18" s="435"/>
      <c r="BI18" s="493"/>
      <c r="BJ18" s="435"/>
      <c r="BK18" s="435"/>
      <c r="BL18" s="435"/>
      <c r="BM18" s="435"/>
      <c r="BN18" s="493"/>
      <c r="BO18" s="435"/>
      <c r="BP18" s="435"/>
      <c r="BQ18" s="435"/>
      <c r="BR18" s="435"/>
      <c r="BS18" s="493"/>
      <c r="BT18" s="435"/>
      <c r="BU18" s="435"/>
      <c r="BV18" s="435"/>
      <c r="BW18" s="435"/>
      <c r="BX18" s="493"/>
      <c r="BY18" s="435"/>
      <c r="BZ18" s="435"/>
      <c r="CA18" s="435"/>
      <c r="CB18" s="435"/>
      <c r="CC18" s="493"/>
    </row>
    <row r="19" spans="1:141" ht="20.100000000000001" customHeight="1" x14ac:dyDescent="0.2">
      <c r="A19" s="210">
        <v>44105</v>
      </c>
      <c r="B19" s="470">
        <f t="shared" si="0"/>
        <v>1244</v>
      </c>
      <c r="C19" s="498">
        <f t="shared" si="14"/>
        <v>266</v>
      </c>
      <c r="D19" s="498">
        <f t="shared" si="14"/>
        <v>271</v>
      </c>
      <c r="E19" s="498">
        <f t="shared" si="14"/>
        <v>698</v>
      </c>
      <c r="F19" s="499">
        <f t="shared" si="14"/>
        <v>9</v>
      </c>
      <c r="G19" s="476">
        <v>266</v>
      </c>
      <c r="H19" s="476">
        <v>271</v>
      </c>
      <c r="I19" s="476">
        <v>698</v>
      </c>
      <c r="J19" s="476">
        <v>9</v>
      </c>
      <c r="K19" s="601">
        <f>SUM(G19:J19)</f>
        <v>1244</v>
      </c>
      <c r="L19" s="435"/>
      <c r="M19" s="435"/>
      <c r="N19" s="435"/>
      <c r="O19" s="435"/>
      <c r="P19" s="493"/>
      <c r="Q19" s="435"/>
      <c r="R19" s="435"/>
      <c r="S19" s="435"/>
      <c r="T19" s="435"/>
      <c r="U19" s="493"/>
      <c r="V19" s="435"/>
      <c r="W19" s="435"/>
      <c r="X19" s="435"/>
      <c r="Y19" s="435"/>
      <c r="Z19" s="493"/>
      <c r="AA19" s="435"/>
      <c r="AB19" s="435"/>
      <c r="AC19" s="435"/>
      <c r="AD19" s="435"/>
      <c r="AE19" s="493"/>
      <c r="AF19" s="435"/>
      <c r="AG19" s="435"/>
      <c r="AH19" s="435"/>
      <c r="AI19" s="435"/>
      <c r="AJ19" s="493"/>
      <c r="AK19" s="435"/>
      <c r="AL19" s="435"/>
      <c r="AM19" s="435"/>
      <c r="AN19" s="435"/>
      <c r="AO19" s="493"/>
      <c r="AP19" s="435"/>
      <c r="AQ19" s="435"/>
      <c r="AR19" s="435"/>
      <c r="AS19" s="435"/>
      <c r="AT19" s="493"/>
      <c r="AU19" s="435"/>
      <c r="AV19" s="435"/>
      <c r="AW19" s="435"/>
      <c r="AX19" s="435"/>
      <c r="AY19" s="493"/>
      <c r="AZ19" s="435"/>
      <c r="BA19" s="435"/>
      <c r="BB19" s="435"/>
      <c r="BC19" s="435"/>
      <c r="BD19" s="493"/>
      <c r="BE19" s="435"/>
      <c r="BF19" s="435"/>
      <c r="BG19" s="435"/>
      <c r="BH19" s="435"/>
      <c r="BI19" s="493"/>
      <c r="BJ19" s="435"/>
      <c r="BK19" s="435"/>
      <c r="BL19" s="435"/>
      <c r="BM19" s="435"/>
      <c r="BN19" s="493"/>
      <c r="BO19" s="435"/>
      <c r="BP19" s="435"/>
      <c r="BQ19" s="435"/>
      <c r="BR19" s="435"/>
      <c r="BS19" s="493"/>
      <c r="BT19" s="435"/>
      <c r="BU19" s="435"/>
      <c r="BV19" s="435"/>
      <c r="BW19" s="435"/>
      <c r="BX19" s="493"/>
      <c r="BY19" s="435"/>
      <c r="BZ19" s="435"/>
      <c r="CA19" s="435"/>
      <c r="CB19" s="435"/>
      <c r="CC19" s="493"/>
    </row>
    <row r="20" spans="1:141" ht="20.100000000000001" customHeight="1" x14ac:dyDescent="0.2">
      <c r="A20" s="210">
        <v>44106</v>
      </c>
      <c r="B20" s="470">
        <f t="shared" si="0"/>
        <v>1464</v>
      </c>
      <c r="C20" s="498">
        <f t="shared" si="14"/>
        <v>304</v>
      </c>
      <c r="D20" s="498">
        <f t="shared" si="14"/>
        <v>340</v>
      </c>
      <c r="E20" s="498">
        <f t="shared" si="14"/>
        <v>798</v>
      </c>
      <c r="F20" s="499">
        <f t="shared" si="14"/>
        <v>22</v>
      </c>
      <c r="G20" s="476">
        <v>304</v>
      </c>
      <c r="H20" s="476">
        <v>340</v>
      </c>
      <c r="I20" s="83">
        <v>798</v>
      </c>
      <c r="J20" s="476">
        <v>22</v>
      </c>
      <c r="K20" s="601">
        <f>SUM(G20:J20)</f>
        <v>1464</v>
      </c>
      <c r="L20" s="435"/>
      <c r="M20" s="435"/>
      <c r="N20" s="435"/>
      <c r="O20" s="435"/>
      <c r="P20" s="493"/>
      <c r="Q20" s="435"/>
      <c r="R20" s="435"/>
      <c r="S20" s="435"/>
      <c r="T20" s="435"/>
      <c r="U20" s="493"/>
      <c r="V20" s="435"/>
      <c r="W20" s="435"/>
      <c r="X20" s="435"/>
      <c r="Y20" s="435"/>
      <c r="Z20" s="493"/>
      <c r="AA20" s="435"/>
      <c r="AB20" s="435"/>
      <c r="AC20" s="435"/>
      <c r="AD20" s="435"/>
      <c r="AE20" s="493"/>
      <c r="AF20" s="435"/>
      <c r="AG20" s="435"/>
      <c r="AH20" s="435"/>
      <c r="AI20" s="435"/>
      <c r="AJ20" s="493"/>
      <c r="AK20" s="435"/>
      <c r="AL20" s="435"/>
      <c r="AM20" s="435"/>
      <c r="AN20" s="435"/>
      <c r="AO20" s="493"/>
      <c r="AP20" s="435"/>
      <c r="AQ20" s="435"/>
      <c r="AR20" s="435"/>
      <c r="AS20" s="435"/>
      <c r="AT20" s="493"/>
      <c r="AU20" s="435"/>
      <c r="AV20" s="435"/>
      <c r="AW20" s="435"/>
      <c r="AX20" s="435"/>
      <c r="AY20" s="493"/>
      <c r="AZ20" s="435"/>
      <c r="BA20" s="435"/>
      <c r="BB20" s="435"/>
      <c r="BC20" s="435"/>
      <c r="BD20" s="493"/>
      <c r="BE20" s="435"/>
      <c r="BF20" s="435"/>
      <c r="BG20" s="435"/>
      <c r="BH20" s="435"/>
      <c r="BI20" s="493"/>
      <c r="BJ20" s="435"/>
      <c r="BK20" s="435"/>
      <c r="BL20" s="435"/>
      <c r="BM20" s="435"/>
      <c r="BN20" s="493"/>
      <c r="BO20" s="435"/>
      <c r="BP20" s="435"/>
      <c r="BQ20" s="435"/>
      <c r="BR20" s="435"/>
      <c r="BS20" s="493"/>
      <c r="BT20" s="435"/>
      <c r="BU20" s="435"/>
      <c r="BV20" s="435"/>
      <c r="BW20" s="435"/>
      <c r="BX20" s="493"/>
      <c r="BY20" s="435"/>
      <c r="BZ20" s="435"/>
      <c r="CA20" s="435"/>
      <c r="CB20" s="435"/>
      <c r="CC20" s="493"/>
    </row>
    <row r="21" spans="1:141" ht="20.100000000000001" customHeight="1" x14ac:dyDescent="0.2">
      <c r="A21" s="352">
        <v>44107</v>
      </c>
      <c r="B21" s="478"/>
      <c r="C21" s="500"/>
      <c r="D21" s="492"/>
      <c r="E21" s="492"/>
      <c r="F21" s="492"/>
      <c r="G21" s="477"/>
      <c r="H21" s="435"/>
      <c r="I21" s="435"/>
      <c r="J21" s="435"/>
      <c r="K21" s="493"/>
      <c r="L21" s="477"/>
      <c r="M21" s="435"/>
      <c r="N21" s="435"/>
      <c r="O21" s="435"/>
      <c r="P21" s="493"/>
      <c r="Q21" s="435"/>
      <c r="R21" s="435"/>
      <c r="S21" s="435"/>
      <c r="T21" s="435"/>
      <c r="U21" s="493"/>
      <c r="V21" s="435"/>
      <c r="W21" s="435"/>
      <c r="X21" s="435"/>
      <c r="Y21" s="435"/>
      <c r="Z21" s="493"/>
      <c r="AA21" s="477"/>
      <c r="AB21" s="435"/>
      <c r="AC21" s="435"/>
      <c r="AD21" s="435"/>
      <c r="AE21" s="493"/>
      <c r="AF21" s="477"/>
      <c r="AG21" s="435"/>
      <c r="AH21" s="435"/>
      <c r="AI21" s="435"/>
      <c r="AJ21" s="493"/>
      <c r="AK21" s="477"/>
      <c r="AL21" s="435"/>
      <c r="AM21" s="435"/>
      <c r="AN21" s="435"/>
      <c r="AO21" s="493"/>
      <c r="AP21" s="477"/>
      <c r="AQ21" s="435"/>
      <c r="AR21" s="435"/>
      <c r="AS21" s="435"/>
      <c r="AT21" s="493"/>
      <c r="AU21" s="477"/>
      <c r="AV21" s="435"/>
      <c r="AW21" s="435"/>
      <c r="AX21" s="435"/>
      <c r="AY21" s="493"/>
      <c r="AZ21" s="477"/>
      <c r="BA21" s="435"/>
      <c r="BB21" s="435"/>
      <c r="BC21" s="435"/>
      <c r="BD21" s="493"/>
      <c r="BE21" s="477"/>
      <c r="BF21" s="435"/>
      <c r="BG21" s="435"/>
      <c r="BH21" s="435"/>
      <c r="BI21" s="493"/>
      <c r="BJ21" s="477"/>
      <c r="BK21" s="435"/>
      <c r="BL21" s="435"/>
      <c r="BM21" s="435"/>
      <c r="BN21" s="493"/>
      <c r="BO21" s="477"/>
      <c r="BP21" s="435"/>
      <c r="BQ21" s="435"/>
      <c r="BR21" s="435"/>
      <c r="BS21" s="493"/>
      <c r="BT21" s="477"/>
      <c r="BU21" s="435"/>
      <c r="BV21" s="435"/>
      <c r="BW21" s="435"/>
      <c r="BX21" s="493"/>
      <c r="BY21" s="477"/>
      <c r="BZ21" s="435"/>
      <c r="CA21" s="435"/>
      <c r="CB21" s="435"/>
      <c r="CC21" s="493"/>
    </row>
    <row r="22" spans="1:141" ht="20.100000000000001" customHeight="1" x14ac:dyDescent="0.2">
      <c r="A22" s="352">
        <v>44108</v>
      </c>
      <c r="B22" s="478"/>
      <c r="C22" s="500"/>
      <c r="D22" s="492"/>
      <c r="E22" s="492"/>
      <c r="F22" s="492"/>
      <c r="G22" s="477"/>
      <c r="H22" s="435"/>
      <c r="I22" s="435"/>
      <c r="J22" s="435"/>
      <c r="K22" s="493"/>
      <c r="L22" s="477"/>
      <c r="M22" s="435"/>
      <c r="N22" s="435"/>
      <c r="O22" s="435"/>
      <c r="P22" s="493"/>
      <c r="Q22" s="435"/>
      <c r="R22" s="435"/>
      <c r="S22" s="435"/>
      <c r="T22" s="435"/>
      <c r="U22" s="493"/>
      <c r="V22" s="435"/>
      <c r="W22" s="435"/>
      <c r="X22" s="435"/>
      <c r="Y22" s="435"/>
      <c r="Z22" s="493"/>
      <c r="AA22" s="477"/>
      <c r="AB22" s="435"/>
      <c r="AC22" s="435"/>
      <c r="AD22" s="435"/>
      <c r="AE22" s="493"/>
      <c r="AF22" s="477"/>
      <c r="AG22" s="435"/>
      <c r="AH22" s="435"/>
      <c r="AI22" s="435"/>
      <c r="AJ22" s="493"/>
      <c r="AK22" s="477"/>
      <c r="AL22" s="435"/>
      <c r="AM22" s="435"/>
      <c r="AN22" s="435"/>
      <c r="AO22" s="493"/>
      <c r="AP22" s="477"/>
      <c r="AQ22" s="435"/>
      <c r="AR22" s="435"/>
      <c r="AS22" s="435"/>
      <c r="AT22" s="493"/>
      <c r="AU22" s="477"/>
      <c r="AV22" s="435"/>
      <c r="AW22" s="435"/>
      <c r="AX22" s="435"/>
      <c r="AY22" s="493"/>
      <c r="AZ22" s="477"/>
      <c r="BA22" s="435"/>
      <c r="BB22" s="435"/>
      <c r="BC22" s="435"/>
      <c r="BD22" s="493"/>
      <c r="BE22" s="477"/>
      <c r="BF22" s="435"/>
      <c r="BG22" s="435"/>
      <c r="BH22" s="435"/>
      <c r="BI22" s="493"/>
      <c r="BJ22" s="477"/>
      <c r="BK22" s="435"/>
      <c r="BL22" s="435"/>
      <c r="BM22" s="435"/>
      <c r="BN22" s="493"/>
      <c r="BO22" s="477"/>
      <c r="BP22" s="435"/>
      <c r="BQ22" s="435"/>
      <c r="BR22" s="435"/>
      <c r="BS22" s="493"/>
      <c r="BT22" s="477"/>
      <c r="BU22" s="435"/>
      <c r="BV22" s="435"/>
      <c r="BW22" s="435"/>
      <c r="BX22" s="493"/>
      <c r="BY22" s="477"/>
      <c r="BZ22" s="435"/>
      <c r="CA22" s="435"/>
      <c r="CB22" s="435"/>
      <c r="CC22" s="493"/>
    </row>
    <row r="23" spans="1:141" s="84" customFormat="1" ht="20.100000000000001" customHeight="1" x14ac:dyDescent="0.2">
      <c r="A23" s="363">
        <v>44109</v>
      </c>
      <c r="B23" s="475">
        <f>SUM(C23:F23)</f>
        <v>1213</v>
      </c>
      <c r="C23" s="502">
        <f>G23</f>
        <v>224</v>
      </c>
      <c r="D23" s="490">
        <f t="shared" ref="D23:F23" si="15">H23</f>
        <v>306</v>
      </c>
      <c r="E23" s="490">
        <f t="shared" si="15"/>
        <v>670</v>
      </c>
      <c r="F23" s="491">
        <f t="shared" si="15"/>
        <v>13</v>
      </c>
      <c r="G23" s="479">
        <v>224</v>
      </c>
      <c r="H23" s="476">
        <v>306</v>
      </c>
      <c r="I23" s="476">
        <v>670</v>
      </c>
      <c r="J23" s="476">
        <v>13</v>
      </c>
      <c r="K23" s="601">
        <f t="shared" ref="K23:K28" si="16">SUM(G23:J23)</f>
        <v>1213</v>
      </c>
      <c r="L23" s="477"/>
      <c r="M23" s="435"/>
      <c r="N23" s="435"/>
      <c r="O23" s="435"/>
      <c r="P23" s="493"/>
      <c r="Q23" s="435"/>
      <c r="R23" s="435"/>
      <c r="S23" s="435"/>
      <c r="T23" s="435"/>
      <c r="U23" s="493"/>
      <c r="V23" s="435"/>
      <c r="W23" s="435"/>
      <c r="X23" s="435"/>
      <c r="Y23" s="435"/>
      <c r="Z23" s="493"/>
      <c r="AA23" s="477"/>
      <c r="AB23" s="435"/>
      <c r="AC23" s="435"/>
      <c r="AD23" s="435"/>
      <c r="AE23" s="493"/>
      <c r="AF23" s="477"/>
      <c r="AG23" s="435"/>
      <c r="AH23" s="435"/>
      <c r="AI23" s="435"/>
      <c r="AJ23" s="493"/>
      <c r="AK23" s="477"/>
      <c r="AL23" s="435"/>
      <c r="AM23" s="435"/>
      <c r="AN23" s="435"/>
      <c r="AO23" s="493"/>
      <c r="AP23" s="477"/>
      <c r="AQ23" s="435"/>
      <c r="AR23" s="435"/>
      <c r="AS23" s="435"/>
      <c r="AT23" s="493"/>
      <c r="AU23" s="477"/>
      <c r="AV23" s="435"/>
      <c r="AW23" s="435"/>
      <c r="AX23" s="435"/>
      <c r="AY23" s="493"/>
      <c r="AZ23" s="477"/>
      <c r="BA23" s="435"/>
      <c r="BB23" s="435"/>
      <c r="BC23" s="435"/>
      <c r="BD23" s="493"/>
      <c r="BE23" s="477"/>
      <c r="BF23" s="435"/>
      <c r="BG23" s="435"/>
      <c r="BH23" s="435"/>
      <c r="BI23" s="493"/>
      <c r="BJ23" s="477"/>
      <c r="BK23" s="435"/>
      <c r="BL23" s="435"/>
      <c r="BM23" s="435"/>
      <c r="BN23" s="493"/>
      <c r="BO23" s="477"/>
      <c r="BP23" s="435"/>
      <c r="BQ23" s="435"/>
      <c r="BR23" s="435"/>
      <c r="BS23" s="493"/>
      <c r="BT23" s="477"/>
      <c r="BU23" s="435"/>
      <c r="BV23" s="435"/>
      <c r="BW23" s="435"/>
      <c r="BX23" s="493"/>
      <c r="BY23" s="477"/>
      <c r="BZ23" s="435"/>
      <c r="CA23" s="435"/>
      <c r="CB23" s="435"/>
      <c r="CC23" s="493"/>
    </row>
    <row r="24" spans="1:141" ht="20.100000000000001" customHeight="1" x14ac:dyDescent="0.2">
      <c r="A24" s="210">
        <v>44110</v>
      </c>
      <c r="B24" s="470">
        <f t="shared" si="0"/>
        <v>1310</v>
      </c>
      <c r="C24" s="502">
        <f>G24</f>
        <v>223</v>
      </c>
      <c r="D24" s="490">
        <f t="shared" ref="D24" si="17">H24</f>
        <v>360</v>
      </c>
      <c r="E24" s="490">
        <f>I24</f>
        <v>718</v>
      </c>
      <c r="F24" s="491">
        <f t="shared" ref="F24" si="18">J24</f>
        <v>9</v>
      </c>
      <c r="G24" s="479">
        <v>223</v>
      </c>
      <c r="H24" s="476">
        <v>360</v>
      </c>
      <c r="I24" s="476">
        <v>718</v>
      </c>
      <c r="J24" s="476">
        <v>9</v>
      </c>
      <c r="K24" s="601">
        <f t="shared" si="16"/>
        <v>1310</v>
      </c>
      <c r="L24" s="477"/>
      <c r="M24" s="435"/>
      <c r="N24" s="435"/>
      <c r="O24" s="435"/>
      <c r="P24" s="493"/>
      <c r="Q24" s="435"/>
      <c r="R24" s="435"/>
      <c r="S24" s="435"/>
      <c r="T24" s="435"/>
      <c r="U24" s="493"/>
      <c r="V24" s="435"/>
      <c r="W24" s="435"/>
      <c r="X24" s="435"/>
      <c r="Y24" s="435"/>
      <c r="Z24" s="493"/>
      <c r="AA24" s="477"/>
      <c r="AB24" s="435"/>
      <c r="AC24" s="435"/>
      <c r="AD24" s="435"/>
      <c r="AE24" s="493"/>
      <c r="AF24" s="477"/>
      <c r="AG24" s="435"/>
      <c r="AH24" s="435"/>
      <c r="AI24" s="435"/>
      <c r="AJ24" s="493"/>
      <c r="AK24" s="477"/>
      <c r="AL24" s="435"/>
      <c r="AM24" s="435"/>
      <c r="AN24" s="435"/>
      <c r="AO24" s="493"/>
      <c r="AP24" s="477"/>
      <c r="AQ24" s="435"/>
      <c r="AR24" s="435"/>
      <c r="AS24" s="435"/>
      <c r="AT24" s="493"/>
      <c r="AU24" s="477"/>
      <c r="AV24" s="435"/>
      <c r="AW24" s="435"/>
      <c r="AX24" s="435"/>
      <c r="AY24" s="493"/>
      <c r="AZ24" s="477"/>
      <c r="BA24" s="435"/>
      <c r="BB24" s="435"/>
      <c r="BC24" s="435"/>
      <c r="BD24" s="493"/>
      <c r="BE24" s="477"/>
      <c r="BF24" s="435"/>
      <c r="BG24" s="435"/>
      <c r="BH24" s="435"/>
      <c r="BI24" s="493"/>
      <c r="BJ24" s="477"/>
      <c r="BK24" s="435"/>
      <c r="BL24" s="435"/>
      <c r="BM24" s="435"/>
      <c r="BN24" s="493"/>
      <c r="BO24" s="477"/>
      <c r="BP24" s="435"/>
      <c r="BQ24" s="435"/>
      <c r="BR24" s="435"/>
      <c r="BS24" s="493"/>
      <c r="BT24" s="477"/>
      <c r="BU24" s="435"/>
      <c r="BV24" s="435"/>
      <c r="BW24" s="435"/>
      <c r="BX24" s="493"/>
      <c r="BY24" s="477"/>
      <c r="BZ24" s="435"/>
      <c r="CA24" s="435"/>
      <c r="CB24" s="435"/>
      <c r="CC24" s="493"/>
    </row>
    <row r="25" spans="1:141" ht="20.100000000000001" customHeight="1" x14ac:dyDescent="0.2">
      <c r="A25" s="210">
        <v>44111</v>
      </c>
      <c r="B25" s="470">
        <f t="shared" si="0"/>
        <v>1323</v>
      </c>
      <c r="C25" s="498">
        <v>217</v>
      </c>
      <c r="D25" s="490">
        <f t="shared" ref="D25" si="19">H25</f>
        <v>352</v>
      </c>
      <c r="E25" s="490">
        <f t="shared" ref="E25" si="20">I25</f>
        <v>750</v>
      </c>
      <c r="F25" s="491">
        <f t="shared" ref="F25" si="21">J25</f>
        <v>4</v>
      </c>
      <c r="G25" s="479">
        <v>217</v>
      </c>
      <c r="H25" s="476">
        <v>352</v>
      </c>
      <c r="I25" s="476">
        <v>750</v>
      </c>
      <c r="J25" s="476">
        <v>4</v>
      </c>
      <c r="K25" s="601">
        <f t="shared" si="16"/>
        <v>1323</v>
      </c>
      <c r="L25" s="477"/>
      <c r="M25" s="435"/>
      <c r="N25" s="435"/>
      <c r="O25" s="435"/>
      <c r="P25" s="493"/>
      <c r="Q25" s="435"/>
      <c r="R25" s="435"/>
      <c r="S25" s="435"/>
      <c r="T25" s="435"/>
      <c r="U25" s="493"/>
      <c r="V25" s="435"/>
      <c r="W25" s="435"/>
      <c r="X25" s="435"/>
      <c r="Y25" s="435"/>
      <c r="Z25" s="493"/>
      <c r="AA25" s="477"/>
      <c r="AB25" s="435"/>
      <c r="AC25" s="435"/>
      <c r="AD25" s="435"/>
      <c r="AE25" s="493"/>
      <c r="AF25" s="477"/>
      <c r="AG25" s="435"/>
      <c r="AH25" s="435"/>
      <c r="AI25" s="435"/>
      <c r="AJ25" s="493"/>
      <c r="AK25" s="477"/>
      <c r="AL25" s="435"/>
      <c r="AM25" s="435"/>
      <c r="AN25" s="435"/>
      <c r="AO25" s="493"/>
      <c r="AP25" s="477"/>
      <c r="AQ25" s="435"/>
      <c r="AR25" s="435"/>
      <c r="AS25" s="435"/>
      <c r="AT25" s="493"/>
      <c r="AU25" s="477"/>
      <c r="AV25" s="435"/>
      <c r="AW25" s="435"/>
      <c r="AX25" s="435"/>
      <c r="AY25" s="493"/>
      <c r="AZ25" s="477"/>
      <c r="BA25" s="435"/>
      <c r="BB25" s="435"/>
      <c r="BC25" s="435"/>
      <c r="BD25" s="493"/>
      <c r="BE25" s="477"/>
      <c r="BF25" s="435"/>
      <c r="BG25" s="435"/>
      <c r="BH25" s="435"/>
      <c r="BI25" s="493"/>
      <c r="BJ25" s="477"/>
      <c r="BK25" s="435"/>
      <c r="BL25" s="435"/>
      <c r="BM25" s="435"/>
      <c r="BN25" s="493"/>
      <c r="BO25" s="477"/>
      <c r="BP25" s="435"/>
      <c r="BQ25" s="435"/>
      <c r="BR25" s="435"/>
      <c r="BS25" s="493"/>
      <c r="BT25" s="477"/>
      <c r="BU25" s="435"/>
      <c r="BV25" s="435"/>
      <c r="BW25" s="435"/>
      <c r="BX25" s="493"/>
      <c r="BY25" s="477"/>
      <c r="BZ25" s="435"/>
      <c r="CA25" s="435"/>
      <c r="CB25" s="435"/>
      <c r="CC25" s="493"/>
    </row>
    <row r="26" spans="1:141" ht="20.100000000000001" customHeight="1" x14ac:dyDescent="0.2">
      <c r="A26" s="210">
        <v>44112</v>
      </c>
      <c r="B26" s="470">
        <f t="shared" ref="B26" si="22">SUM(C26:F26)</f>
        <v>1309</v>
      </c>
      <c r="C26" s="498">
        <f>G26</f>
        <v>242</v>
      </c>
      <c r="D26" s="490">
        <f t="shared" ref="D26:D28" si="23">H26</f>
        <v>331</v>
      </c>
      <c r="E26" s="490">
        <f t="shared" ref="E26:E28" si="24">I26</f>
        <v>721</v>
      </c>
      <c r="F26" s="491">
        <f t="shared" ref="F26:F28" si="25">J26</f>
        <v>15</v>
      </c>
      <c r="G26" s="479">
        <v>242</v>
      </c>
      <c r="H26" s="476">
        <v>331</v>
      </c>
      <c r="I26" s="476">
        <v>721</v>
      </c>
      <c r="J26" s="476">
        <v>15</v>
      </c>
      <c r="K26" s="601">
        <f t="shared" si="16"/>
        <v>1309</v>
      </c>
      <c r="L26" s="477"/>
      <c r="M26" s="435"/>
      <c r="N26" s="435"/>
      <c r="O26" s="435"/>
      <c r="P26" s="493"/>
      <c r="Q26" s="435"/>
      <c r="R26" s="435"/>
      <c r="S26" s="435"/>
      <c r="T26" s="435"/>
      <c r="U26" s="493"/>
      <c r="V26" s="477"/>
      <c r="W26" s="435"/>
      <c r="X26" s="435"/>
      <c r="Y26" s="435"/>
      <c r="Z26" s="493"/>
      <c r="AA26" s="477"/>
      <c r="AB26" s="435"/>
      <c r="AC26" s="435"/>
      <c r="AD26" s="435"/>
      <c r="AE26" s="493"/>
      <c r="AF26" s="477"/>
      <c r="AG26" s="435"/>
      <c r="AH26" s="435"/>
      <c r="AI26" s="435"/>
      <c r="AJ26" s="493"/>
      <c r="AK26" s="477"/>
      <c r="AL26" s="435"/>
      <c r="AM26" s="435"/>
      <c r="AN26" s="435"/>
      <c r="AO26" s="493"/>
      <c r="AP26" s="477"/>
      <c r="AQ26" s="435"/>
      <c r="AR26" s="435"/>
      <c r="AS26" s="435"/>
      <c r="AT26" s="493"/>
      <c r="AU26" s="477"/>
      <c r="AV26" s="435"/>
      <c r="AW26" s="435"/>
      <c r="AX26" s="435"/>
      <c r="AY26" s="493"/>
      <c r="AZ26" s="477"/>
      <c r="BA26" s="435"/>
      <c r="BB26" s="435"/>
      <c r="BC26" s="435"/>
      <c r="BD26" s="493"/>
      <c r="BE26" s="477"/>
      <c r="BF26" s="435"/>
      <c r="BG26" s="435"/>
      <c r="BH26" s="435"/>
      <c r="BI26" s="493"/>
      <c r="BJ26" s="477"/>
      <c r="BK26" s="435"/>
      <c r="BL26" s="435"/>
      <c r="BM26" s="435"/>
      <c r="BN26" s="493"/>
      <c r="BO26" s="477"/>
      <c r="BP26" s="435"/>
      <c r="BQ26" s="435"/>
      <c r="BR26" s="435"/>
      <c r="BS26" s="493"/>
      <c r="BT26" s="477"/>
      <c r="BU26" s="435"/>
      <c r="BV26" s="435"/>
      <c r="BW26" s="435"/>
      <c r="BX26" s="493"/>
      <c r="BY26" s="477"/>
      <c r="BZ26" s="435"/>
      <c r="CA26" s="435"/>
      <c r="CB26" s="435"/>
      <c r="CC26" s="493"/>
    </row>
    <row r="27" spans="1:141" ht="20.100000000000001" customHeight="1" x14ac:dyDescent="0.2">
      <c r="A27" s="210">
        <v>44113</v>
      </c>
      <c r="B27" s="470">
        <f t="shared" si="0"/>
        <v>1490</v>
      </c>
      <c r="C27" s="498">
        <f>G27</f>
        <v>300</v>
      </c>
      <c r="D27" s="498">
        <f t="shared" si="23"/>
        <v>383</v>
      </c>
      <c r="E27" s="498">
        <f t="shared" si="24"/>
        <v>788</v>
      </c>
      <c r="F27" s="498">
        <f t="shared" si="25"/>
        <v>19</v>
      </c>
      <c r="G27" s="479">
        <v>300</v>
      </c>
      <c r="H27" s="476">
        <v>383</v>
      </c>
      <c r="I27" s="476">
        <v>788</v>
      </c>
      <c r="J27" s="476">
        <v>19</v>
      </c>
      <c r="K27" s="601">
        <f t="shared" si="16"/>
        <v>1490</v>
      </c>
      <c r="L27" s="477"/>
      <c r="M27" s="435"/>
      <c r="N27" s="435"/>
      <c r="O27" s="435"/>
      <c r="P27" s="493"/>
      <c r="Q27" s="435"/>
      <c r="R27" s="435"/>
      <c r="S27" s="435"/>
      <c r="T27" s="435"/>
      <c r="U27" s="493"/>
      <c r="V27" s="477"/>
      <c r="W27" s="435"/>
      <c r="X27" s="435"/>
      <c r="Y27" s="435"/>
      <c r="Z27" s="493"/>
      <c r="AA27" s="477"/>
      <c r="AB27" s="435"/>
      <c r="AC27" s="435"/>
      <c r="AD27" s="435"/>
      <c r="AE27" s="493"/>
      <c r="AF27" s="477"/>
      <c r="AG27" s="435"/>
      <c r="AH27" s="435"/>
      <c r="AI27" s="435"/>
      <c r="AJ27" s="493"/>
      <c r="AK27" s="477"/>
      <c r="AL27" s="435"/>
      <c r="AM27" s="435"/>
      <c r="AN27" s="435"/>
      <c r="AO27" s="493"/>
      <c r="AP27" s="477"/>
      <c r="AQ27" s="435"/>
      <c r="AR27" s="435"/>
      <c r="AS27" s="435"/>
      <c r="AT27" s="493"/>
      <c r="AU27" s="477"/>
      <c r="AV27" s="435"/>
      <c r="AW27" s="435"/>
      <c r="AX27" s="435"/>
      <c r="AY27" s="493"/>
      <c r="AZ27" s="477"/>
      <c r="BA27" s="435"/>
      <c r="BB27" s="435"/>
      <c r="BC27" s="435"/>
      <c r="BD27" s="493"/>
      <c r="BE27" s="477"/>
      <c r="BF27" s="435"/>
      <c r="BG27" s="435"/>
      <c r="BH27" s="435"/>
      <c r="BI27" s="493"/>
      <c r="BJ27" s="477"/>
      <c r="BK27" s="435"/>
      <c r="BL27" s="435"/>
      <c r="BM27" s="435"/>
      <c r="BN27" s="493"/>
      <c r="BO27" s="477"/>
      <c r="BP27" s="435"/>
      <c r="BQ27" s="435"/>
      <c r="BR27" s="435"/>
      <c r="BS27" s="493"/>
      <c r="BT27" s="477"/>
      <c r="BU27" s="435"/>
      <c r="BV27" s="435"/>
      <c r="BW27" s="435"/>
      <c r="BX27" s="493"/>
      <c r="BY27" s="477"/>
      <c r="BZ27" s="435"/>
      <c r="CA27" s="435"/>
      <c r="CB27" s="435"/>
      <c r="CC27" s="493"/>
    </row>
    <row r="28" spans="1:141" ht="20.100000000000001" customHeight="1" x14ac:dyDescent="0.2">
      <c r="A28" s="363">
        <v>44114</v>
      </c>
      <c r="B28" s="475">
        <f t="shared" si="0"/>
        <v>1240</v>
      </c>
      <c r="C28" s="502">
        <f>G28</f>
        <v>250</v>
      </c>
      <c r="D28" s="490">
        <f t="shared" si="23"/>
        <v>269</v>
      </c>
      <c r="E28" s="490">
        <f t="shared" si="24"/>
        <v>710</v>
      </c>
      <c r="F28" s="490">
        <f t="shared" si="25"/>
        <v>11</v>
      </c>
      <c r="G28" s="479">
        <v>250</v>
      </c>
      <c r="H28" s="476">
        <v>269</v>
      </c>
      <c r="I28" s="476">
        <v>710</v>
      </c>
      <c r="J28" s="476">
        <v>11</v>
      </c>
      <c r="K28" s="601">
        <f t="shared" si="16"/>
        <v>1240</v>
      </c>
      <c r="L28" s="477"/>
      <c r="M28" s="435"/>
      <c r="N28" s="435"/>
      <c r="O28" s="435"/>
      <c r="P28" s="493"/>
      <c r="Q28" s="435"/>
      <c r="R28" s="435"/>
      <c r="S28" s="435"/>
      <c r="T28" s="435"/>
      <c r="U28" s="493"/>
      <c r="V28" s="477"/>
      <c r="W28" s="435"/>
      <c r="X28" s="435"/>
      <c r="Y28" s="435"/>
      <c r="Z28" s="493"/>
      <c r="AA28" s="477"/>
      <c r="AB28" s="435"/>
      <c r="AC28" s="435"/>
      <c r="AD28" s="435"/>
      <c r="AE28" s="493"/>
      <c r="AF28" s="477"/>
      <c r="AG28" s="435"/>
      <c r="AH28" s="435"/>
      <c r="AI28" s="435"/>
      <c r="AJ28" s="493"/>
      <c r="AK28" s="477"/>
      <c r="AL28" s="435"/>
      <c r="AM28" s="435"/>
      <c r="AN28" s="435"/>
      <c r="AO28" s="493"/>
      <c r="AP28" s="477"/>
      <c r="AQ28" s="435"/>
      <c r="AR28" s="435"/>
      <c r="AS28" s="435"/>
      <c r="AT28" s="493"/>
      <c r="AU28" s="477"/>
      <c r="AV28" s="435"/>
      <c r="AW28" s="435"/>
      <c r="AX28" s="435"/>
      <c r="AY28" s="493"/>
      <c r="AZ28" s="477"/>
      <c r="BA28" s="435"/>
      <c r="BB28" s="435"/>
      <c r="BC28" s="435"/>
      <c r="BD28" s="493"/>
      <c r="BE28" s="477"/>
      <c r="BF28" s="435"/>
      <c r="BG28" s="435"/>
      <c r="BH28" s="435"/>
      <c r="BI28" s="493"/>
      <c r="BJ28" s="477"/>
      <c r="BK28" s="435"/>
      <c r="BL28" s="435"/>
      <c r="BM28" s="435"/>
      <c r="BN28" s="493"/>
      <c r="BO28" s="477"/>
      <c r="BP28" s="435"/>
      <c r="BQ28" s="435"/>
      <c r="BR28" s="435"/>
      <c r="BS28" s="493"/>
      <c r="BT28" s="477"/>
      <c r="BU28" s="435"/>
      <c r="BV28" s="435"/>
      <c r="BW28" s="435"/>
      <c r="BX28" s="493"/>
      <c r="BY28" s="477"/>
      <c r="BZ28" s="435"/>
      <c r="CA28" s="435"/>
      <c r="CB28" s="435"/>
      <c r="CC28" s="493"/>
    </row>
    <row r="29" spans="1:141" ht="20.100000000000001" customHeight="1" x14ac:dyDescent="0.2">
      <c r="A29" s="352">
        <v>44115</v>
      </c>
      <c r="B29" s="478"/>
      <c r="C29" s="500"/>
      <c r="D29" s="492"/>
      <c r="E29" s="492"/>
      <c r="F29" s="492"/>
      <c r="G29" s="477"/>
      <c r="H29" s="435"/>
      <c r="I29" s="435"/>
      <c r="J29" s="435"/>
      <c r="K29" s="493"/>
      <c r="L29" s="477"/>
      <c r="M29" s="435"/>
      <c r="N29" s="435"/>
      <c r="O29" s="435"/>
      <c r="P29" s="493"/>
      <c r="Q29" s="435"/>
      <c r="R29" s="435"/>
      <c r="S29" s="435"/>
      <c r="T29" s="435"/>
      <c r="U29" s="493"/>
      <c r="V29" s="477"/>
      <c r="W29" s="435"/>
      <c r="X29" s="435"/>
      <c r="Y29" s="435"/>
      <c r="Z29" s="493"/>
      <c r="AA29" s="477"/>
      <c r="AB29" s="435"/>
      <c r="AC29" s="435"/>
      <c r="AD29" s="435"/>
      <c r="AE29" s="493"/>
      <c r="AF29" s="477"/>
      <c r="AG29" s="435"/>
      <c r="AH29" s="435"/>
      <c r="AI29" s="435"/>
      <c r="AJ29" s="493"/>
      <c r="AK29" s="477"/>
      <c r="AL29" s="435"/>
      <c r="AM29" s="435"/>
      <c r="AN29" s="435"/>
      <c r="AO29" s="493"/>
      <c r="AP29" s="477"/>
      <c r="AQ29" s="435"/>
      <c r="AR29" s="435"/>
      <c r="AS29" s="435"/>
      <c r="AT29" s="493"/>
      <c r="AU29" s="477"/>
      <c r="AV29" s="435"/>
      <c r="AW29" s="435"/>
      <c r="AX29" s="435"/>
      <c r="AY29" s="493"/>
      <c r="AZ29" s="477"/>
      <c r="BA29" s="435"/>
      <c r="BB29" s="435"/>
      <c r="BC29" s="435"/>
      <c r="BD29" s="493"/>
      <c r="BE29" s="477"/>
      <c r="BF29" s="435"/>
      <c r="BG29" s="435"/>
      <c r="BH29" s="435"/>
      <c r="BI29" s="493"/>
      <c r="BJ29" s="477"/>
      <c r="BK29" s="435"/>
      <c r="BL29" s="435"/>
      <c r="BM29" s="435"/>
      <c r="BN29" s="493"/>
      <c r="BO29" s="477"/>
      <c r="BP29" s="435"/>
      <c r="BQ29" s="435"/>
      <c r="BR29" s="435"/>
      <c r="BS29" s="493"/>
      <c r="BT29" s="477"/>
      <c r="BU29" s="435"/>
      <c r="BV29" s="435"/>
      <c r="BW29" s="435"/>
      <c r="BX29" s="493"/>
      <c r="BY29" s="477"/>
      <c r="BZ29" s="435"/>
      <c r="CA29" s="435"/>
      <c r="CB29" s="435"/>
      <c r="CC29" s="493"/>
    </row>
    <row r="30" spans="1:141" s="105" customFormat="1" ht="20.100000000000001" customHeight="1" x14ac:dyDescent="0.2">
      <c r="A30" s="352">
        <v>44116</v>
      </c>
      <c r="B30" s="483"/>
      <c r="C30" s="500"/>
      <c r="D30" s="492"/>
      <c r="E30" s="492"/>
      <c r="F30" s="492"/>
      <c r="G30" s="477"/>
      <c r="H30" s="435"/>
      <c r="I30" s="435"/>
      <c r="J30" s="435"/>
      <c r="K30" s="493"/>
      <c r="L30" s="477"/>
      <c r="M30" s="435"/>
      <c r="N30" s="435"/>
      <c r="O30" s="435"/>
      <c r="P30" s="493"/>
      <c r="Q30" s="435"/>
      <c r="R30" s="435"/>
      <c r="S30" s="435"/>
      <c r="T30" s="435"/>
      <c r="U30" s="493"/>
      <c r="V30" s="477"/>
      <c r="W30" s="435"/>
      <c r="X30" s="435"/>
      <c r="Y30" s="435"/>
      <c r="Z30" s="493"/>
      <c r="AA30" s="477"/>
      <c r="AB30" s="435"/>
      <c r="AC30" s="435"/>
      <c r="AD30" s="435"/>
      <c r="AE30" s="493"/>
      <c r="AF30" s="477"/>
      <c r="AG30" s="435"/>
      <c r="AH30" s="435"/>
      <c r="AI30" s="435"/>
      <c r="AJ30" s="493"/>
      <c r="AK30" s="477"/>
      <c r="AL30" s="435"/>
      <c r="AM30" s="435"/>
      <c r="AN30" s="435"/>
      <c r="AO30" s="493"/>
      <c r="AP30" s="477"/>
      <c r="AQ30" s="435"/>
      <c r="AR30" s="435"/>
      <c r="AS30" s="435"/>
      <c r="AT30" s="493"/>
      <c r="AU30" s="477"/>
      <c r="AV30" s="435"/>
      <c r="AW30" s="435"/>
      <c r="AX30" s="435"/>
      <c r="AY30" s="493"/>
      <c r="AZ30" s="477"/>
      <c r="BA30" s="435"/>
      <c r="BB30" s="435"/>
      <c r="BC30" s="435"/>
      <c r="BD30" s="493"/>
      <c r="BE30" s="477"/>
      <c r="BF30" s="435"/>
      <c r="BG30" s="435"/>
      <c r="BH30" s="435"/>
      <c r="BI30" s="493"/>
      <c r="BJ30" s="477"/>
      <c r="BK30" s="435"/>
      <c r="BL30" s="435"/>
      <c r="BM30" s="435"/>
      <c r="BN30" s="493"/>
      <c r="BO30" s="477"/>
      <c r="BP30" s="435"/>
      <c r="BQ30" s="435"/>
      <c r="BR30" s="435"/>
      <c r="BS30" s="493"/>
      <c r="BT30" s="477"/>
      <c r="BU30" s="435"/>
      <c r="BV30" s="435"/>
      <c r="BW30" s="435"/>
      <c r="BX30" s="493"/>
      <c r="BY30" s="477"/>
      <c r="BZ30" s="435"/>
      <c r="CA30" s="435"/>
      <c r="CB30" s="435"/>
      <c r="CC30" s="493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</row>
    <row r="31" spans="1:141" ht="20.100000000000001" customHeight="1" x14ac:dyDescent="0.2">
      <c r="A31" s="210">
        <v>44117</v>
      </c>
      <c r="B31" s="470">
        <f>SUM(C31:F31)</f>
        <v>1238</v>
      </c>
      <c r="C31" s="501">
        <f>G31</f>
        <v>204</v>
      </c>
      <c r="D31" s="498">
        <f>H31</f>
        <v>292</v>
      </c>
      <c r="E31" s="498">
        <f>I31</f>
        <v>738</v>
      </c>
      <c r="F31" s="498">
        <f>J31</f>
        <v>4</v>
      </c>
      <c r="G31" s="479">
        <v>204</v>
      </c>
      <c r="H31" s="476">
        <v>292</v>
      </c>
      <c r="I31" s="476">
        <v>738</v>
      </c>
      <c r="J31" s="476">
        <v>4</v>
      </c>
      <c r="K31" s="601">
        <f>SUM(G31:J31)</f>
        <v>1238</v>
      </c>
      <c r="L31" s="477"/>
      <c r="M31" s="435"/>
      <c r="N31" s="435"/>
      <c r="O31" s="435"/>
      <c r="P31" s="493"/>
      <c r="Q31" s="435"/>
      <c r="R31" s="435"/>
      <c r="S31" s="435"/>
      <c r="T31" s="435"/>
      <c r="U31" s="493"/>
      <c r="V31" s="477"/>
      <c r="W31" s="435"/>
      <c r="X31" s="435"/>
      <c r="Y31" s="435"/>
      <c r="Z31" s="493"/>
      <c r="AA31" s="477"/>
      <c r="AB31" s="435"/>
      <c r="AC31" s="435"/>
      <c r="AD31" s="435"/>
      <c r="AE31" s="493"/>
      <c r="AF31" s="477"/>
      <c r="AG31" s="435"/>
      <c r="AH31" s="435"/>
      <c r="AI31" s="435"/>
      <c r="AJ31" s="493"/>
      <c r="AK31" s="477"/>
      <c r="AL31" s="435"/>
      <c r="AM31" s="435"/>
      <c r="AN31" s="435"/>
      <c r="AO31" s="493"/>
      <c r="AP31" s="477"/>
      <c r="AQ31" s="435"/>
      <c r="AR31" s="435"/>
      <c r="AS31" s="435"/>
      <c r="AT31" s="493"/>
      <c r="AU31" s="477"/>
      <c r="AV31" s="435"/>
      <c r="AW31" s="435"/>
      <c r="AX31" s="435"/>
      <c r="AY31" s="493"/>
      <c r="AZ31" s="477"/>
      <c r="BA31" s="435"/>
      <c r="BB31" s="435"/>
      <c r="BC31" s="435"/>
      <c r="BD31" s="493"/>
      <c r="BE31" s="477"/>
      <c r="BF31" s="435"/>
      <c r="BG31" s="435"/>
      <c r="BH31" s="435"/>
      <c r="BI31" s="493"/>
      <c r="BJ31" s="477"/>
      <c r="BK31" s="435"/>
      <c r="BL31" s="435"/>
      <c r="BM31" s="435"/>
      <c r="BN31" s="493"/>
      <c r="BO31" s="477"/>
      <c r="BP31" s="435"/>
      <c r="BQ31" s="435"/>
      <c r="BR31" s="435"/>
      <c r="BS31" s="493"/>
      <c r="BT31" s="477"/>
      <c r="BU31" s="435"/>
      <c r="BV31" s="435"/>
      <c r="BW31" s="435"/>
      <c r="BX31" s="493"/>
      <c r="BY31" s="477"/>
      <c r="BZ31" s="435"/>
      <c r="CA31" s="435"/>
      <c r="CB31" s="435"/>
      <c r="CC31" s="493"/>
    </row>
    <row r="32" spans="1:141" ht="20.100000000000001" customHeight="1" x14ac:dyDescent="0.2">
      <c r="A32" s="210">
        <v>44118</v>
      </c>
      <c r="B32" s="470">
        <f>SUM(C32:F32)</f>
        <v>7473</v>
      </c>
      <c r="C32" s="501">
        <f>G32+L32+Q32+V32+AA32+AF32+AK32+AP32+AU32+AZ32+BE32+BJ32+BO32+BT32+BY32</f>
        <v>2183</v>
      </c>
      <c r="D32" s="498">
        <f t="shared" ref="D32:F32" si="26">H32+M32+R32+W32+AB32+AG32+AL32+AQ32+AV32+BA32+BF32+BK32+BP32+BU32+BZ32</f>
        <v>1572</v>
      </c>
      <c r="E32" s="498">
        <f t="shared" si="26"/>
        <v>3584</v>
      </c>
      <c r="F32" s="499">
        <f t="shared" si="26"/>
        <v>134</v>
      </c>
      <c r="G32" s="480">
        <v>165</v>
      </c>
      <c r="H32" s="441">
        <v>487</v>
      </c>
      <c r="I32" s="441">
        <v>978</v>
      </c>
      <c r="J32" s="441">
        <v>1</v>
      </c>
      <c r="K32" s="601">
        <f>SUM(G32:J32)</f>
        <v>1631</v>
      </c>
      <c r="L32" s="480">
        <v>3</v>
      </c>
      <c r="M32" s="441">
        <v>164</v>
      </c>
      <c r="N32" s="441">
        <v>261</v>
      </c>
      <c r="O32" s="441">
        <v>0</v>
      </c>
      <c r="P32" s="601">
        <f>SUM(L32:O32)</f>
        <v>428</v>
      </c>
      <c r="Q32" s="441">
        <v>426</v>
      </c>
      <c r="R32" s="441">
        <v>7</v>
      </c>
      <c r="S32" s="441">
        <v>26</v>
      </c>
      <c r="T32" s="441">
        <v>0</v>
      </c>
      <c r="U32" s="601">
        <f>SUM(Q32:T32)</f>
        <v>459</v>
      </c>
      <c r="V32" s="477"/>
      <c r="W32" s="435"/>
      <c r="X32" s="435"/>
      <c r="Y32" s="435"/>
      <c r="Z32" s="493"/>
      <c r="AA32" s="480">
        <v>0</v>
      </c>
      <c r="AB32" s="441">
        <v>79</v>
      </c>
      <c r="AC32" s="441">
        <v>136</v>
      </c>
      <c r="AD32" s="441">
        <v>128</v>
      </c>
      <c r="AE32" s="601">
        <f>SUM(AA32:AD32)</f>
        <v>343</v>
      </c>
      <c r="AF32" s="480">
        <v>115</v>
      </c>
      <c r="AG32" s="441">
        <v>69</v>
      </c>
      <c r="AH32" s="441">
        <v>181</v>
      </c>
      <c r="AI32" s="441">
        <v>0</v>
      </c>
      <c r="AJ32" s="601">
        <f>SUM(AF32:AI32)</f>
        <v>365</v>
      </c>
      <c r="AK32" s="480">
        <v>214</v>
      </c>
      <c r="AL32" s="441">
        <v>0</v>
      </c>
      <c r="AM32" s="441">
        <v>231</v>
      </c>
      <c r="AN32" s="441">
        <v>0</v>
      </c>
      <c r="AO32" s="601">
        <f>SUM(AK32:AN32)</f>
        <v>445</v>
      </c>
      <c r="AP32" s="480">
        <v>176</v>
      </c>
      <c r="AQ32" s="441">
        <v>319</v>
      </c>
      <c r="AR32" s="441">
        <v>75</v>
      </c>
      <c r="AS32" s="441">
        <v>0</v>
      </c>
      <c r="AT32" s="601">
        <f>SUM(AP32:AS32)</f>
        <v>570</v>
      </c>
      <c r="AU32" s="480">
        <v>550</v>
      </c>
      <c r="AV32" s="441">
        <v>0</v>
      </c>
      <c r="AW32" s="441">
        <v>2</v>
      </c>
      <c r="AX32" s="441">
        <v>0</v>
      </c>
      <c r="AY32" s="601">
        <f>SUM(AU32:AX32)</f>
        <v>552</v>
      </c>
      <c r="AZ32" s="480">
        <v>1</v>
      </c>
      <c r="BA32" s="441">
        <v>51</v>
      </c>
      <c r="BB32" s="441">
        <v>439</v>
      </c>
      <c r="BC32" s="441">
        <v>3</v>
      </c>
      <c r="BD32" s="601">
        <f>SUM(AZ32:BC32)</f>
        <v>494</v>
      </c>
      <c r="BE32" s="480">
        <v>22</v>
      </c>
      <c r="BF32" s="441">
        <v>17</v>
      </c>
      <c r="BG32" s="441">
        <v>478</v>
      </c>
      <c r="BH32" s="441">
        <v>0</v>
      </c>
      <c r="BI32" s="601">
        <f>SUM(BE32:BH32)</f>
        <v>517</v>
      </c>
      <c r="BJ32" s="480">
        <v>1</v>
      </c>
      <c r="BK32" s="441">
        <v>324</v>
      </c>
      <c r="BL32" s="441">
        <v>55</v>
      </c>
      <c r="BM32" s="441">
        <v>2</v>
      </c>
      <c r="BN32" s="601">
        <f>SUM(BJ32:BM32)</f>
        <v>382</v>
      </c>
      <c r="BO32" s="480">
        <v>190</v>
      </c>
      <c r="BP32" s="441">
        <v>4</v>
      </c>
      <c r="BQ32" s="441">
        <v>184</v>
      </c>
      <c r="BR32" s="441">
        <v>0</v>
      </c>
      <c r="BS32" s="601">
        <f>SUM(BO32:BR32)</f>
        <v>378</v>
      </c>
      <c r="BT32" s="480">
        <v>280</v>
      </c>
      <c r="BU32" s="441">
        <v>22</v>
      </c>
      <c r="BV32" s="441">
        <v>189</v>
      </c>
      <c r="BW32" s="441">
        <v>0</v>
      </c>
      <c r="BX32" s="601">
        <f>SUM(BT32:BW32)</f>
        <v>491</v>
      </c>
      <c r="BY32" s="480">
        <v>40</v>
      </c>
      <c r="BZ32" s="441">
        <v>29</v>
      </c>
      <c r="CA32" s="441">
        <v>349</v>
      </c>
      <c r="CB32" s="441">
        <v>0</v>
      </c>
      <c r="CC32" s="601">
        <f>SUM(BY32:CB32)</f>
        <v>418</v>
      </c>
    </row>
    <row r="33" spans="1:81" ht="20.100000000000001" customHeight="1" x14ac:dyDescent="0.2">
      <c r="A33" s="210">
        <v>44119</v>
      </c>
      <c r="B33" s="470">
        <f t="shared" si="0"/>
        <v>8296</v>
      </c>
      <c r="C33" s="501">
        <f>G33+L33+Q33+V33+AA33+AF33+AK33+AP33+AU33+AZ33+BE33+BJ33+BO33+BT33+BY33</f>
        <v>2516</v>
      </c>
      <c r="D33" s="498">
        <f t="shared" ref="D33" si="27">H33+M33+R33+W33+AB33+AG33+AL33+AQ33+AV33+BA33+BF33+BK33+BP33+BU33+BZ33</f>
        <v>1693</v>
      </c>
      <c r="E33" s="498">
        <f t="shared" ref="E33" si="28">I33+N33+S33+X33+AC33+AH33+AM33+AR33+AW33+BB33+BG33+BL33+BQ33+BV33+CA33</f>
        <v>3939</v>
      </c>
      <c r="F33" s="499">
        <f t="shared" ref="F33" si="29">J33+O33+T33+Y33+AD33+AI33+AN33+AS33+AX33+BC33+BH33+BM33+BR33+BW33+CB33</f>
        <v>148</v>
      </c>
      <c r="G33" s="480">
        <v>158</v>
      </c>
      <c r="H33" s="441">
        <v>425</v>
      </c>
      <c r="I33" s="441">
        <v>974</v>
      </c>
      <c r="J33" s="441">
        <v>4</v>
      </c>
      <c r="K33" s="601">
        <f>SUM(G33:J33)</f>
        <v>1561</v>
      </c>
      <c r="L33" s="480">
        <v>1</v>
      </c>
      <c r="M33" s="441">
        <v>192</v>
      </c>
      <c r="N33" s="441">
        <v>269</v>
      </c>
      <c r="O33" s="441">
        <v>0</v>
      </c>
      <c r="P33" s="601">
        <f>SUM(L33:O33)</f>
        <v>462</v>
      </c>
      <c r="Q33" s="441">
        <v>500</v>
      </c>
      <c r="R33" s="441">
        <v>3</v>
      </c>
      <c r="S33" s="441">
        <v>17</v>
      </c>
      <c r="T33" s="441">
        <v>0</v>
      </c>
      <c r="U33" s="601">
        <f>SUM(Q33:T33)</f>
        <v>520</v>
      </c>
      <c r="V33" s="477"/>
      <c r="W33" s="435"/>
      <c r="X33" s="435"/>
      <c r="Y33" s="435"/>
      <c r="Z33" s="493"/>
      <c r="AA33" s="480">
        <v>0</v>
      </c>
      <c r="AB33" s="441">
        <v>96</v>
      </c>
      <c r="AC33" s="441">
        <v>184</v>
      </c>
      <c r="AD33" s="441">
        <v>132</v>
      </c>
      <c r="AE33" s="601">
        <f>SUM(AA33:AD33)</f>
        <v>412</v>
      </c>
      <c r="AF33" s="480">
        <v>98</v>
      </c>
      <c r="AG33" s="441">
        <v>94</v>
      </c>
      <c r="AH33" s="441">
        <v>190</v>
      </c>
      <c r="AI33" s="441">
        <v>0</v>
      </c>
      <c r="AJ33" s="601">
        <f>SUM(AF33:AI33)</f>
        <v>382</v>
      </c>
      <c r="AK33" s="480">
        <v>289</v>
      </c>
      <c r="AL33" s="441">
        <v>2</v>
      </c>
      <c r="AM33" s="441">
        <v>280</v>
      </c>
      <c r="AN33" s="441">
        <v>0</v>
      </c>
      <c r="AO33" s="601">
        <f>SUM(AK33:AN33)</f>
        <v>571</v>
      </c>
      <c r="AP33" s="480">
        <v>256</v>
      </c>
      <c r="AQ33" s="441">
        <v>337</v>
      </c>
      <c r="AR33" s="441">
        <v>101</v>
      </c>
      <c r="AS33" s="441">
        <v>0</v>
      </c>
      <c r="AT33" s="601">
        <f>SUM(AP33:AS33)</f>
        <v>694</v>
      </c>
      <c r="AU33" s="480">
        <v>619</v>
      </c>
      <c r="AV33" s="441">
        <v>0</v>
      </c>
      <c r="AW33" s="441">
        <v>2</v>
      </c>
      <c r="AX33" s="441">
        <v>0</v>
      </c>
      <c r="AY33" s="601">
        <f>SUM(AU33:AX33)</f>
        <v>621</v>
      </c>
      <c r="AZ33" s="480">
        <v>1</v>
      </c>
      <c r="BA33" s="441">
        <v>77</v>
      </c>
      <c r="BB33" s="441">
        <v>475</v>
      </c>
      <c r="BC33" s="441">
        <v>11</v>
      </c>
      <c r="BD33" s="601">
        <f>SUM(AZ33:BC33)</f>
        <v>564</v>
      </c>
      <c r="BE33" s="480">
        <v>9</v>
      </c>
      <c r="BF33" s="441">
        <v>14</v>
      </c>
      <c r="BG33" s="441">
        <v>548</v>
      </c>
      <c r="BH33" s="441">
        <v>0</v>
      </c>
      <c r="BI33" s="601">
        <f>SUM(BE33:BH33)</f>
        <v>571</v>
      </c>
      <c r="BJ33" s="480">
        <v>2</v>
      </c>
      <c r="BK33" s="441">
        <v>357</v>
      </c>
      <c r="BL33" s="441">
        <v>60</v>
      </c>
      <c r="BM33" s="441">
        <v>0</v>
      </c>
      <c r="BN33" s="601">
        <f>SUM(BJ33:BM33)</f>
        <v>419</v>
      </c>
      <c r="BO33" s="480">
        <v>238</v>
      </c>
      <c r="BP33" s="441">
        <v>4</v>
      </c>
      <c r="BQ33" s="441">
        <v>191</v>
      </c>
      <c r="BR33" s="441">
        <v>0</v>
      </c>
      <c r="BS33" s="601">
        <f>SUM(BO33:BR33)</f>
        <v>433</v>
      </c>
      <c r="BT33" s="480">
        <v>260</v>
      </c>
      <c r="BU33" s="441">
        <v>35</v>
      </c>
      <c r="BV33" s="441">
        <v>214</v>
      </c>
      <c r="BW33" s="441">
        <v>1</v>
      </c>
      <c r="BX33" s="601">
        <f>SUM(BT33:BW33)</f>
        <v>510</v>
      </c>
      <c r="BY33" s="480">
        <v>85</v>
      </c>
      <c r="BZ33" s="441">
        <v>57</v>
      </c>
      <c r="CA33" s="441">
        <v>434</v>
      </c>
      <c r="CB33" s="441">
        <v>0</v>
      </c>
      <c r="CC33" s="601">
        <f>SUM(BY33:CB33)</f>
        <v>576</v>
      </c>
    </row>
    <row r="34" spans="1:81" ht="20.100000000000001" customHeight="1" x14ac:dyDescent="0.2">
      <c r="A34" s="210">
        <v>44120</v>
      </c>
      <c r="B34" s="470">
        <f t="shared" ref="B34" si="30">SUM(C34:F34)</f>
        <v>9006</v>
      </c>
      <c r="C34" s="501">
        <f>G34+L34+Q34+V34+AA34+AF34+AK34+AP34+AU34+AZ34+BE34+BJ34+BO34+BT34+BY34</f>
        <v>2733</v>
      </c>
      <c r="D34" s="498">
        <f t="shared" ref="D34" si="31">H34+M34+R34+W34+AB34+AG34+AL34+AQ34+AV34+BA34+BF34+BK34+BP34+BU34+BZ34</f>
        <v>1871</v>
      </c>
      <c r="E34" s="498">
        <f t="shared" ref="E34" si="32">I34+N34+S34+X34+AC34+AH34+AM34+AR34+AW34+BB34+BG34+BL34+BQ34+BV34+CA34</f>
        <v>4268</v>
      </c>
      <c r="F34" s="499">
        <f t="shared" ref="F34" si="33">J34+O34+T34+Y34+AD34+AI34+AN34+AS34+AX34+BC34+BH34+BM34+BR34+BW34+CB34</f>
        <v>134</v>
      </c>
      <c r="G34" s="480">
        <v>183</v>
      </c>
      <c r="H34" s="441">
        <v>467</v>
      </c>
      <c r="I34" s="441">
        <v>1009</v>
      </c>
      <c r="J34" s="441">
        <v>2</v>
      </c>
      <c r="K34" s="601">
        <f>SUM(G34:J34)</f>
        <v>1661</v>
      </c>
      <c r="L34" s="480">
        <v>3</v>
      </c>
      <c r="M34" s="441">
        <v>240</v>
      </c>
      <c r="N34" s="441">
        <v>293</v>
      </c>
      <c r="O34" s="441">
        <v>0</v>
      </c>
      <c r="P34" s="601">
        <f>SUM(L34:O34)</f>
        <v>536</v>
      </c>
      <c r="Q34" s="441">
        <v>507</v>
      </c>
      <c r="R34" s="441">
        <v>3</v>
      </c>
      <c r="S34" s="441">
        <v>15</v>
      </c>
      <c r="T34" s="441">
        <v>0</v>
      </c>
      <c r="U34" s="601">
        <f>SUM(Q34:T34)</f>
        <v>525</v>
      </c>
      <c r="V34" s="477"/>
      <c r="W34" s="435"/>
      <c r="X34" s="435"/>
      <c r="Y34" s="435"/>
      <c r="Z34" s="493"/>
      <c r="AA34" s="480">
        <v>1</v>
      </c>
      <c r="AB34" s="441">
        <v>125</v>
      </c>
      <c r="AC34" s="441">
        <v>192</v>
      </c>
      <c r="AD34" s="441">
        <v>122</v>
      </c>
      <c r="AE34" s="601">
        <f>SUM(AA34:AD34)</f>
        <v>440</v>
      </c>
      <c r="AF34" s="72">
        <v>123</v>
      </c>
      <c r="AG34" s="72">
        <v>117</v>
      </c>
      <c r="AH34" s="72">
        <v>170</v>
      </c>
      <c r="AI34" s="72">
        <v>0</v>
      </c>
      <c r="AJ34" s="601">
        <f>SUM(AF34:AI34)</f>
        <v>410</v>
      </c>
      <c r="AK34" s="480">
        <v>278</v>
      </c>
      <c r="AL34" s="441">
        <v>0</v>
      </c>
      <c r="AM34" s="441">
        <v>318</v>
      </c>
      <c r="AN34" s="441">
        <v>0</v>
      </c>
      <c r="AO34" s="601">
        <f>SUM(AK34:AN34)</f>
        <v>596</v>
      </c>
      <c r="AP34" s="480">
        <v>265</v>
      </c>
      <c r="AQ34" s="441">
        <v>347</v>
      </c>
      <c r="AR34" s="441">
        <v>112</v>
      </c>
      <c r="AS34" s="441">
        <v>0</v>
      </c>
      <c r="AT34" s="601">
        <f>SUM(AP34:AS34)</f>
        <v>724</v>
      </c>
      <c r="AU34" s="480">
        <v>710</v>
      </c>
      <c r="AV34" s="441">
        <v>0</v>
      </c>
      <c r="AW34" s="441">
        <v>0</v>
      </c>
      <c r="AX34" s="441">
        <v>0</v>
      </c>
      <c r="AY34" s="601">
        <f>SUM(AU34:AX34)</f>
        <v>710</v>
      </c>
      <c r="AZ34" s="480">
        <v>0</v>
      </c>
      <c r="BA34" s="441">
        <v>113</v>
      </c>
      <c r="BB34" s="441">
        <v>519</v>
      </c>
      <c r="BC34" s="441">
        <v>8</v>
      </c>
      <c r="BD34" s="601">
        <f>SUM(AZ34:BC34)</f>
        <v>640</v>
      </c>
      <c r="BE34" s="480">
        <v>19</v>
      </c>
      <c r="BF34" s="441">
        <v>10</v>
      </c>
      <c r="BG34" s="441">
        <v>641</v>
      </c>
      <c r="BH34" s="441">
        <v>0</v>
      </c>
      <c r="BI34" s="601">
        <f>SUM(BE34:BH34)</f>
        <v>670</v>
      </c>
      <c r="BJ34" s="480">
        <v>8</v>
      </c>
      <c r="BK34" s="441">
        <v>350</v>
      </c>
      <c r="BL34" s="441">
        <v>54</v>
      </c>
      <c r="BM34" s="441">
        <v>0</v>
      </c>
      <c r="BN34" s="601">
        <f>SUM(BJ34:BM34)</f>
        <v>412</v>
      </c>
      <c r="BO34" s="480">
        <v>255</v>
      </c>
      <c r="BP34" s="441">
        <v>9</v>
      </c>
      <c r="BQ34" s="441">
        <v>246</v>
      </c>
      <c r="BR34" s="441">
        <v>0</v>
      </c>
      <c r="BS34" s="601">
        <f>SUM(BO34:BR34)</f>
        <v>510</v>
      </c>
      <c r="BT34" s="480">
        <v>288</v>
      </c>
      <c r="BU34" s="441">
        <v>35</v>
      </c>
      <c r="BV34" s="441">
        <v>226</v>
      </c>
      <c r="BW34" s="441">
        <v>2</v>
      </c>
      <c r="BX34" s="601">
        <f>SUM(BT34:BW34)</f>
        <v>551</v>
      </c>
      <c r="BY34" s="480">
        <v>93</v>
      </c>
      <c r="BZ34" s="441">
        <v>55</v>
      </c>
      <c r="CA34" s="441">
        <v>473</v>
      </c>
      <c r="CB34" s="441">
        <v>0</v>
      </c>
      <c r="CC34" s="601">
        <f>SUM(BY34:CB34)</f>
        <v>621</v>
      </c>
    </row>
    <row r="35" spans="1:81" s="84" customFormat="1" ht="20.100000000000001" customHeight="1" x14ac:dyDescent="0.2">
      <c r="A35" s="363">
        <v>44121</v>
      </c>
      <c r="B35" s="470">
        <f>SUM(C35:F35)</f>
        <v>10959</v>
      </c>
      <c r="C35" s="501">
        <f>G35+L35+Q35+V35+AA35+AF35+AK35+AP35+AU35+AZ35+BE35+BJ35+BO35+BT35+BY35</f>
        <v>3323</v>
      </c>
      <c r="D35" s="498">
        <f>H35+M35+R35+W35+AB35+AG35+AL35+AQ35+AV35+BA35+BF35+BK35+BP35+BU35+BZ35</f>
        <v>2652</v>
      </c>
      <c r="E35" s="498">
        <f>I35+N35+S35+X35+AC35+AH35+AM35+AR35+AW35+BB35+BG35+BL35+BQ35+BV35+CA35</f>
        <v>4772</v>
      </c>
      <c r="F35" s="499">
        <f>J35+O35+T35+Y35+AD35+AI35+AN35+AS35+AX35+BC35+BH35+BM35+BR35+BW35+CB35</f>
        <v>212</v>
      </c>
      <c r="G35" s="646">
        <v>94</v>
      </c>
      <c r="H35" s="111">
        <v>334</v>
      </c>
      <c r="I35" s="111">
        <v>825</v>
      </c>
      <c r="J35" s="111">
        <v>4</v>
      </c>
      <c r="K35" s="601">
        <f>SUM(G35:J35)</f>
        <v>1257</v>
      </c>
      <c r="L35" s="479">
        <v>1</v>
      </c>
      <c r="M35" s="476">
        <v>276</v>
      </c>
      <c r="N35" s="476">
        <v>387</v>
      </c>
      <c r="O35" s="476">
        <v>0</v>
      </c>
      <c r="P35" s="601">
        <f>SUM(L35:O35)</f>
        <v>664</v>
      </c>
      <c r="Q35" s="476">
        <v>622</v>
      </c>
      <c r="R35" s="476">
        <v>2</v>
      </c>
      <c r="S35" s="476">
        <v>24</v>
      </c>
      <c r="T35" s="476">
        <v>0</v>
      </c>
      <c r="U35" s="601">
        <f>SUM(Q35:T35)</f>
        <v>648</v>
      </c>
      <c r="V35" s="479">
        <v>3</v>
      </c>
      <c r="W35" s="476">
        <v>632</v>
      </c>
      <c r="X35" s="476">
        <v>41</v>
      </c>
      <c r="Y35" s="476">
        <v>0</v>
      </c>
      <c r="Z35" s="601">
        <f>SUM(V35:Y35)</f>
        <v>676</v>
      </c>
      <c r="AA35" s="479">
        <v>3</v>
      </c>
      <c r="AB35" s="476">
        <v>143</v>
      </c>
      <c r="AC35" s="476">
        <v>233</v>
      </c>
      <c r="AD35" s="476">
        <v>197</v>
      </c>
      <c r="AE35" s="601">
        <f>SUM(AA35:AD35)</f>
        <v>576</v>
      </c>
      <c r="AF35" s="479">
        <v>168</v>
      </c>
      <c r="AG35" s="476">
        <v>81</v>
      </c>
      <c r="AH35" s="476">
        <v>167</v>
      </c>
      <c r="AI35" s="476">
        <v>0</v>
      </c>
      <c r="AJ35" s="601">
        <f>SUM(AF35:AI35)</f>
        <v>416</v>
      </c>
      <c r="AK35" s="479">
        <v>408</v>
      </c>
      <c r="AL35" s="476">
        <v>3</v>
      </c>
      <c r="AM35" s="476">
        <v>370</v>
      </c>
      <c r="AN35" s="476">
        <v>0</v>
      </c>
      <c r="AO35" s="601">
        <f>SUM(AK35:AN35)</f>
        <v>781</v>
      </c>
      <c r="AP35" s="479">
        <v>365</v>
      </c>
      <c r="AQ35" s="476">
        <v>516</v>
      </c>
      <c r="AR35" s="476">
        <v>118</v>
      </c>
      <c r="AS35" s="476">
        <v>0</v>
      </c>
      <c r="AT35" s="601">
        <f>SUM(AP35:AS35)</f>
        <v>999</v>
      </c>
      <c r="AU35" s="479">
        <v>832</v>
      </c>
      <c r="AV35" s="476">
        <v>0</v>
      </c>
      <c r="AW35" s="476">
        <v>5</v>
      </c>
      <c r="AX35" s="476">
        <v>0</v>
      </c>
      <c r="AY35" s="601">
        <f>SUM(AU35:AX35)</f>
        <v>837</v>
      </c>
      <c r="AZ35" s="479">
        <v>3</v>
      </c>
      <c r="BA35" s="476">
        <v>119</v>
      </c>
      <c r="BB35" s="476">
        <v>610</v>
      </c>
      <c r="BC35" s="476">
        <v>11</v>
      </c>
      <c r="BD35" s="601">
        <f>SUM(AZ35:BC35)</f>
        <v>743</v>
      </c>
      <c r="BE35" s="479">
        <v>15</v>
      </c>
      <c r="BF35" s="476">
        <v>24</v>
      </c>
      <c r="BG35" s="476">
        <v>822</v>
      </c>
      <c r="BH35" s="476">
        <v>0</v>
      </c>
      <c r="BI35" s="601">
        <f>SUM(BE35:BH35)</f>
        <v>861</v>
      </c>
      <c r="BJ35" s="479">
        <v>5</v>
      </c>
      <c r="BK35" s="476">
        <v>427</v>
      </c>
      <c r="BL35" s="476">
        <v>84</v>
      </c>
      <c r="BM35" s="476">
        <v>0</v>
      </c>
      <c r="BN35" s="601">
        <f>SUM(BJ35:BM35)</f>
        <v>516</v>
      </c>
      <c r="BO35" s="479">
        <v>309</v>
      </c>
      <c r="BP35" s="476">
        <v>15</v>
      </c>
      <c r="BQ35" s="476">
        <v>264</v>
      </c>
      <c r="BR35" s="476">
        <v>0</v>
      </c>
      <c r="BS35" s="601">
        <f>SUM(BO35:BR35)</f>
        <v>588</v>
      </c>
      <c r="BT35" s="479">
        <v>398</v>
      </c>
      <c r="BU35" s="476">
        <v>27</v>
      </c>
      <c r="BV35" s="476">
        <v>240</v>
      </c>
      <c r="BW35" s="476">
        <v>0</v>
      </c>
      <c r="BX35" s="601">
        <f>SUM(BT35:BW35)</f>
        <v>665</v>
      </c>
      <c r="BY35" s="479">
        <v>97</v>
      </c>
      <c r="BZ35" s="476">
        <v>53</v>
      </c>
      <c r="CA35" s="476">
        <v>582</v>
      </c>
      <c r="CB35" s="476">
        <v>0</v>
      </c>
      <c r="CC35" s="601">
        <f>SUM(BY35:CB35)</f>
        <v>732</v>
      </c>
    </row>
    <row r="36" spans="1:81" ht="20.100000000000001" customHeight="1" x14ac:dyDescent="0.2">
      <c r="A36" s="352">
        <v>44122</v>
      </c>
      <c r="B36" s="483"/>
      <c r="C36" s="500"/>
      <c r="D36" s="492"/>
      <c r="E36" s="492"/>
      <c r="F36" s="493"/>
      <c r="G36" s="481"/>
      <c r="H36" s="448"/>
      <c r="I36" s="448"/>
      <c r="J36" s="448"/>
      <c r="K36" s="495"/>
      <c r="L36" s="481"/>
      <c r="M36" s="448"/>
      <c r="N36" s="448"/>
      <c r="O36" s="448"/>
      <c r="P36" s="495"/>
      <c r="Q36" s="448"/>
      <c r="R36" s="448"/>
      <c r="S36" s="448"/>
      <c r="T36" s="448"/>
      <c r="U36" s="495"/>
      <c r="V36" s="481"/>
      <c r="W36" s="448"/>
      <c r="X36" s="448"/>
      <c r="Y36" s="448"/>
      <c r="Z36" s="495"/>
      <c r="AA36" s="481"/>
      <c r="AB36" s="448"/>
      <c r="AC36" s="448"/>
      <c r="AD36" s="448"/>
      <c r="AE36" s="495"/>
      <c r="AF36" s="481"/>
      <c r="AG36" s="448"/>
      <c r="AH36" s="448"/>
      <c r="AI36" s="448"/>
      <c r="AJ36" s="495"/>
      <c r="AK36" s="481"/>
      <c r="AL36" s="448"/>
      <c r="AM36" s="448"/>
      <c r="AN36" s="448"/>
      <c r="AO36" s="495"/>
      <c r="AP36" s="481"/>
      <c r="AQ36" s="448"/>
      <c r="AR36" s="448"/>
      <c r="AS36" s="448"/>
      <c r="AT36" s="495"/>
      <c r="AU36" s="481"/>
      <c r="AV36" s="448"/>
      <c r="AW36" s="448"/>
      <c r="AX36" s="448"/>
      <c r="AY36" s="495"/>
      <c r="AZ36" s="481"/>
      <c r="BA36" s="448"/>
      <c r="BB36" s="448"/>
      <c r="BC36" s="448"/>
      <c r="BD36" s="495"/>
      <c r="BE36" s="481"/>
      <c r="BF36" s="448"/>
      <c r="BG36" s="448"/>
      <c r="BH36" s="448"/>
      <c r="BI36" s="495"/>
      <c r="BJ36" s="481"/>
      <c r="BK36" s="448"/>
      <c r="BL36" s="448"/>
      <c r="BM36" s="448"/>
      <c r="BN36" s="495"/>
      <c r="BO36" s="481"/>
      <c r="BP36" s="448"/>
      <c r="BQ36" s="448"/>
      <c r="BR36" s="448"/>
      <c r="BS36" s="495"/>
      <c r="BT36" s="481"/>
      <c r="BU36" s="448"/>
      <c r="BV36" s="448"/>
      <c r="BW36" s="448"/>
      <c r="BX36" s="495"/>
      <c r="BY36" s="481"/>
      <c r="BZ36" s="448"/>
      <c r="CA36" s="448"/>
      <c r="CB36" s="448"/>
      <c r="CC36" s="495"/>
    </row>
    <row r="37" spans="1:81" s="84" customFormat="1" ht="20.100000000000001" customHeight="1" x14ac:dyDescent="0.2">
      <c r="A37" s="210">
        <v>44123</v>
      </c>
      <c r="B37" s="470">
        <f t="shared" ref="B37" si="34">SUM(C37:F37)</f>
        <v>9274</v>
      </c>
      <c r="C37" s="501">
        <f t="shared" ref="C37:C41" si="35">G37+L37+Q37+V37+AA37+AF37+AK37+AP37+AU37+AZ37+BE37+BJ37+BO37+BT37+BY37</f>
        <v>2872</v>
      </c>
      <c r="D37" s="498">
        <f t="shared" ref="D37:D41" si="36">H37+M37+R37+W37+AB37+AG37+AL37+AQ37+AV37+BA37+BF37+BK37+BP37+BU37+BZ37</f>
        <v>1975</v>
      </c>
      <c r="E37" s="498">
        <f t="shared" ref="E37:E41" si="37">I37+N37+S37+X37+AC37+AH37+AM37+AR37+AW37+BB37+BG37+BL37+BQ37+BV37+CA37</f>
        <v>4236</v>
      </c>
      <c r="F37" s="499">
        <f t="shared" ref="F37:F41" si="38">J37+O37+T37+Y37+AD37+AI37+AN37+AS37+AX37+BC37+BH37+BM37+BR37+BW37+CB37</f>
        <v>191</v>
      </c>
      <c r="G37" s="482">
        <v>184</v>
      </c>
      <c r="H37" s="428">
        <v>464</v>
      </c>
      <c r="I37" s="428">
        <v>1022</v>
      </c>
      <c r="J37" s="428">
        <v>4</v>
      </c>
      <c r="K37" s="611">
        <f t="shared" ref="K37:K42" si="39">SUM(G37:J37)</f>
        <v>1674</v>
      </c>
      <c r="L37" s="482">
        <v>4</v>
      </c>
      <c r="M37" s="428">
        <v>231</v>
      </c>
      <c r="N37" s="428">
        <v>290</v>
      </c>
      <c r="O37" s="428">
        <v>0</v>
      </c>
      <c r="P37" s="618">
        <f t="shared" ref="P37:P42" si="40">SUM(L37:O37)</f>
        <v>525</v>
      </c>
      <c r="Q37" s="482">
        <v>555</v>
      </c>
      <c r="R37" s="428">
        <v>0</v>
      </c>
      <c r="S37" s="428">
        <v>17</v>
      </c>
      <c r="T37" s="428">
        <v>0</v>
      </c>
      <c r="U37" s="618">
        <f t="shared" ref="U37:U42" si="41">SUM(Q37:T37)</f>
        <v>572</v>
      </c>
      <c r="V37" s="649"/>
      <c r="W37" s="453"/>
      <c r="X37" s="453"/>
      <c r="Y37" s="453"/>
      <c r="Z37" s="650"/>
      <c r="AA37" s="482">
        <v>2</v>
      </c>
      <c r="AB37" s="428">
        <v>176</v>
      </c>
      <c r="AC37" s="428">
        <v>199</v>
      </c>
      <c r="AD37" s="428">
        <v>172</v>
      </c>
      <c r="AE37" s="618">
        <f t="shared" ref="AE37:AE42" si="42">SUM(AA37:AD37)</f>
        <v>549</v>
      </c>
      <c r="AF37" s="482">
        <v>149</v>
      </c>
      <c r="AG37" s="428">
        <v>79</v>
      </c>
      <c r="AH37" s="428">
        <v>163</v>
      </c>
      <c r="AI37" s="428">
        <v>0</v>
      </c>
      <c r="AJ37" s="618">
        <f t="shared" ref="AJ37:AJ42" si="43">SUM(AF37:AI37)</f>
        <v>391</v>
      </c>
      <c r="AK37" s="482">
        <v>319</v>
      </c>
      <c r="AL37" s="428">
        <v>2</v>
      </c>
      <c r="AM37" s="428">
        <v>318</v>
      </c>
      <c r="AN37" s="428">
        <v>0</v>
      </c>
      <c r="AO37" s="618">
        <f t="shared" ref="AO37:AO42" si="44">SUM(AK37:AN37)</f>
        <v>639</v>
      </c>
      <c r="AP37" s="482">
        <f>329+1</f>
        <v>330</v>
      </c>
      <c r="AQ37" s="428">
        <v>410</v>
      </c>
      <c r="AR37" s="428">
        <v>104</v>
      </c>
      <c r="AS37" s="428">
        <v>1</v>
      </c>
      <c r="AT37" s="618">
        <f t="shared" ref="AT37:AT42" si="45">SUM(AP37:AS37)</f>
        <v>845</v>
      </c>
      <c r="AU37" s="482">
        <v>702</v>
      </c>
      <c r="AV37" s="428">
        <v>0</v>
      </c>
      <c r="AW37" s="428">
        <v>0</v>
      </c>
      <c r="AX37" s="428">
        <v>0</v>
      </c>
      <c r="AY37" s="618">
        <f t="shared" ref="AY37:AY42" si="46">SUM(AU37:AX37)</f>
        <v>702</v>
      </c>
      <c r="AZ37" s="482">
        <v>1</v>
      </c>
      <c r="BA37" s="428">
        <v>146</v>
      </c>
      <c r="BB37" s="428">
        <v>490</v>
      </c>
      <c r="BC37" s="428">
        <f>12+1</f>
        <v>13</v>
      </c>
      <c r="BD37" s="618">
        <f t="shared" ref="BD37:BD42" si="47">SUM(AZ37:BC37)</f>
        <v>650</v>
      </c>
      <c r="BE37" s="482">
        <v>11</v>
      </c>
      <c r="BF37" s="428">
        <v>23</v>
      </c>
      <c r="BG37" s="428">
        <v>619</v>
      </c>
      <c r="BH37" s="428">
        <v>1</v>
      </c>
      <c r="BI37" s="618">
        <f t="shared" ref="BI37:BI42" si="48">SUM(BE37:BH37)</f>
        <v>654</v>
      </c>
      <c r="BJ37" s="482">
        <v>2</v>
      </c>
      <c r="BK37" s="428">
        <v>350</v>
      </c>
      <c r="BL37" s="428">
        <v>58</v>
      </c>
      <c r="BM37" s="428">
        <v>0</v>
      </c>
      <c r="BN37" s="618">
        <f t="shared" ref="BN37:BN42" si="49">SUM(BJ37:BM37)</f>
        <v>410</v>
      </c>
      <c r="BO37" s="482">
        <v>267</v>
      </c>
      <c r="BP37" s="428">
        <v>10</v>
      </c>
      <c r="BQ37" s="428">
        <v>236</v>
      </c>
      <c r="BR37" s="428">
        <v>0</v>
      </c>
      <c r="BS37" s="618">
        <f t="shared" ref="BS37:BS42" si="50">SUM(BO37:BR37)</f>
        <v>513</v>
      </c>
      <c r="BT37" s="482">
        <v>275</v>
      </c>
      <c r="BU37" s="428">
        <v>34</v>
      </c>
      <c r="BV37" s="428">
        <v>225</v>
      </c>
      <c r="BW37" s="428">
        <v>0</v>
      </c>
      <c r="BX37" s="618">
        <f t="shared" ref="BX37:BX42" si="51">SUM(BT37:BW37)</f>
        <v>534</v>
      </c>
      <c r="BY37" s="482">
        <v>71</v>
      </c>
      <c r="BZ37" s="428">
        <v>50</v>
      </c>
      <c r="CA37" s="428">
        <v>495</v>
      </c>
      <c r="CB37" s="428">
        <v>0</v>
      </c>
      <c r="CC37" s="611">
        <f t="shared" ref="CC37:CC42" si="52">SUM(BY37:CB37)</f>
        <v>616</v>
      </c>
    </row>
    <row r="38" spans="1:81" ht="20.100000000000001" customHeight="1" x14ac:dyDescent="0.2">
      <c r="A38" s="210">
        <v>44124</v>
      </c>
      <c r="B38" s="470">
        <f t="shared" si="0"/>
        <v>9722</v>
      </c>
      <c r="C38" s="501">
        <f t="shared" si="35"/>
        <v>2952</v>
      </c>
      <c r="D38" s="498">
        <f t="shared" si="36"/>
        <v>2081</v>
      </c>
      <c r="E38" s="498">
        <f t="shared" si="37"/>
        <v>4497</v>
      </c>
      <c r="F38" s="499">
        <f t="shared" si="38"/>
        <v>192</v>
      </c>
      <c r="G38" s="480">
        <v>152</v>
      </c>
      <c r="H38" s="441">
        <v>500</v>
      </c>
      <c r="I38" s="441">
        <v>1102</v>
      </c>
      <c r="J38" s="441">
        <v>3</v>
      </c>
      <c r="K38" s="601">
        <f t="shared" si="39"/>
        <v>1757</v>
      </c>
      <c r="L38" s="480">
        <v>3</v>
      </c>
      <c r="M38" s="441">
        <v>260</v>
      </c>
      <c r="N38" s="441">
        <v>322</v>
      </c>
      <c r="O38" s="441">
        <v>1</v>
      </c>
      <c r="P38" s="619">
        <f t="shared" si="40"/>
        <v>586</v>
      </c>
      <c r="Q38" s="480">
        <v>541</v>
      </c>
      <c r="R38" s="441">
        <v>3</v>
      </c>
      <c r="S38" s="441">
        <v>13</v>
      </c>
      <c r="T38" s="441">
        <v>0</v>
      </c>
      <c r="U38" s="619">
        <f t="shared" si="41"/>
        <v>557</v>
      </c>
      <c r="V38" s="477"/>
      <c r="W38" s="435"/>
      <c r="X38" s="435"/>
      <c r="Y38" s="435"/>
      <c r="Z38" s="492"/>
      <c r="AA38" s="480">
        <v>4</v>
      </c>
      <c r="AB38" s="441">
        <v>162</v>
      </c>
      <c r="AC38" s="441">
        <v>217</v>
      </c>
      <c r="AD38" s="441">
        <v>183</v>
      </c>
      <c r="AE38" s="619">
        <f t="shared" si="42"/>
        <v>566</v>
      </c>
      <c r="AF38" s="480">
        <v>152</v>
      </c>
      <c r="AG38" s="441">
        <v>133</v>
      </c>
      <c r="AH38" s="441">
        <v>185</v>
      </c>
      <c r="AI38" s="441">
        <v>0</v>
      </c>
      <c r="AJ38" s="619">
        <f t="shared" si="43"/>
        <v>470</v>
      </c>
      <c r="AK38" s="480">
        <v>338</v>
      </c>
      <c r="AL38" s="441">
        <v>2</v>
      </c>
      <c r="AM38" s="441">
        <v>301</v>
      </c>
      <c r="AN38" s="441">
        <v>0</v>
      </c>
      <c r="AO38" s="619">
        <f t="shared" si="44"/>
        <v>641</v>
      </c>
      <c r="AP38" s="480">
        <v>279</v>
      </c>
      <c r="AQ38" s="441">
        <v>387</v>
      </c>
      <c r="AR38" s="441">
        <v>83</v>
      </c>
      <c r="AS38" s="441">
        <v>0</v>
      </c>
      <c r="AT38" s="618">
        <f t="shared" si="45"/>
        <v>749</v>
      </c>
      <c r="AU38" s="480">
        <v>787</v>
      </c>
      <c r="AV38" s="441">
        <v>0</v>
      </c>
      <c r="AW38" s="441">
        <v>1</v>
      </c>
      <c r="AX38" s="441">
        <v>0</v>
      </c>
      <c r="AY38" s="619">
        <f t="shared" si="46"/>
        <v>788</v>
      </c>
      <c r="AZ38" s="480">
        <v>1</v>
      </c>
      <c r="BA38" s="441">
        <v>126</v>
      </c>
      <c r="BB38" s="441">
        <v>546</v>
      </c>
      <c r="BC38" s="441">
        <v>2</v>
      </c>
      <c r="BD38" s="618">
        <f t="shared" si="47"/>
        <v>675</v>
      </c>
      <c r="BE38" s="480">
        <v>25</v>
      </c>
      <c r="BF38" s="441">
        <v>32</v>
      </c>
      <c r="BG38" s="441">
        <v>659</v>
      </c>
      <c r="BH38" s="441">
        <v>1</v>
      </c>
      <c r="BI38" s="619">
        <f t="shared" si="48"/>
        <v>717</v>
      </c>
      <c r="BJ38" s="480">
        <v>3</v>
      </c>
      <c r="BK38" s="441">
        <v>385</v>
      </c>
      <c r="BL38" s="441">
        <v>72</v>
      </c>
      <c r="BM38" s="441">
        <v>0</v>
      </c>
      <c r="BN38" s="619">
        <f t="shared" si="49"/>
        <v>460</v>
      </c>
      <c r="BO38" s="480">
        <v>266</v>
      </c>
      <c r="BP38" s="441">
        <v>4</v>
      </c>
      <c r="BQ38" s="441">
        <v>267</v>
      </c>
      <c r="BR38" s="441">
        <v>0</v>
      </c>
      <c r="BS38" s="619">
        <f t="shared" si="50"/>
        <v>537</v>
      </c>
      <c r="BT38" s="480">
        <v>315</v>
      </c>
      <c r="BU38" s="441">
        <v>37</v>
      </c>
      <c r="BV38" s="441">
        <v>218</v>
      </c>
      <c r="BW38" s="441">
        <v>1</v>
      </c>
      <c r="BX38" s="619">
        <f t="shared" si="51"/>
        <v>571</v>
      </c>
      <c r="BY38" s="480">
        <v>86</v>
      </c>
      <c r="BZ38" s="441">
        <v>50</v>
      </c>
      <c r="CA38" s="441">
        <v>511</v>
      </c>
      <c r="CB38" s="441">
        <v>1</v>
      </c>
      <c r="CC38" s="601">
        <f t="shared" si="52"/>
        <v>648</v>
      </c>
    </row>
    <row r="39" spans="1:81" ht="20.100000000000001" customHeight="1" x14ac:dyDescent="0.2">
      <c r="A39" s="210">
        <v>44125</v>
      </c>
      <c r="B39" s="470">
        <f t="shared" si="0"/>
        <v>9972</v>
      </c>
      <c r="C39" s="501">
        <f t="shared" si="35"/>
        <v>2952</v>
      </c>
      <c r="D39" s="498">
        <f t="shared" si="36"/>
        <v>2137</v>
      </c>
      <c r="E39" s="498">
        <f t="shared" si="37"/>
        <v>4672</v>
      </c>
      <c r="F39" s="498">
        <f t="shared" si="38"/>
        <v>211</v>
      </c>
      <c r="G39" s="480">
        <v>149</v>
      </c>
      <c r="H39" s="441">
        <v>482</v>
      </c>
      <c r="I39" s="441">
        <v>1117</v>
      </c>
      <c r="J39" s="441">
        <v>7</v>
      </c>
      <c r="K39" s="601">
        <f t="shared" si="39"/>
        <v>1755</v>
      </c>
      <c r="L39" s="480">
        <v>11</v>
      </c>
      <c r="M39" s="441">
        <v>280</v>
      </c>
      <c r="N39" s="441">
        <v>353</v>
      </c>
      <c r="O39" s="441">
        <v>1</v>
      </c>
      <c r="P39" s="619">
        <f t="shared" si="40"/>
        <v>645</v>
      </c>
      <c r="Q39" s="480">
        <v>596</v>
      </c>
      <c r="R39" s="441">
        <v>4</v>
      </c>
      <c r="S39" s="441">
        <v>31</v>
      </c>
      <c r="T39" s="441">
        <v>0</v>
      </c>
      <c r="U39" s="619">
        <f t="shared" si="41"/>
        <v>631</v>
      </c>
      <c r="V39" s="477"/>
      <c r="W39" s="435"/>
      <c r="X39" s="435"/>
      <c r="Y39" s="435"/>
      <c r="Z39" s="492"/>
      <c r="AA39" s="480">
        <v>3</v>
      </c>
      <c r="AB39" s="441">
        <v>188</v>
      </c>
      <c r="AC39" s="441">
        <v>234</v>
      </c>
      <c r="AD39" s="441">
        <v>194</v>
      </c>
      <c r="AE39" s="619">
        <f t="shared" si="42"/>
        <v>619</v>
      </c>
      <c r="AF39" s="480">
        <v>167</v>
      </c>
      <c r="AG39" s="441">
        <v>139</v>
      </c>
      <c r="AH39" s="441">
        <v>212</v>
      </c>
      <c r="AI39" s="441">
        <v>0</v>
      </c>
      <c r="AJ39" s="619">
        <f t="shared" si="43"/>
        <v>518</v>
      </c>
      <c r="AK39" s="480">
        <v>336</v>
      </c>
      <c r="AL39" s="441">
        <v>4</v>
      </c>
      <c r="AM39" s="441">
        <v>289</v>
      </c>
      <c r="AN39" s="441">
        <v>0</v>
      </c>
      <c r="AO39" s="619">
        <f t="shared" si="44"/>
        <v>629</v>
      </c>
      <c r="AP39" s="480">
        <v>299</v>
      </c>
      <c r="AQ39" s="441">
        <v>412</v>
      </c>
      <c r="AR39" s="441">
        <v>114</v>
      </c>
      <c r="AS39" s="441">
        <v>0</v>
      </c>
      <c r="AT39" s="619">
        <f t="shared" si="45"/>
        <v>825</v>
      </c>
      <c r="AU39" s="480">
        <v>726</v>
      </c>
      <c r="AV39" s="441">
        <v>0</v>
      </c>
      <c r="AW39" s="441">
        <v>4</v>
      </c>
      <c r="AX39" s="441">
        <v>0</v>
      </c>
      <c r="AY39" s="619">
        <f t="shared" si="46"/>
        <v>730</v>
      </c>
      <c r="AZ39" s="480">
        <v>4</v>
      </c>
      <c r="BA39" s="441">
        <v>125</v>
      </c>
      <c r="BB39" s="441">
        <v>589</v>
      </c>
      <c r="BC39" s="441">
        <v>9</v>
      </c>
      <c r="BD39" s="619">
        <f t="shared" si="47"/>
        <v>727</v>
      </c>
      <c r="BE39" s="480">
        <v>42</v>
      </c>
      <c r="BF39" s="441">
        <v>14</v>
      </c>
      <c r="BG39" s="441">
        <v>661</v>
      </c>
      <c r="BH39" s="441">
        <v>0</v>
      </c>
      <c r="BI39" s="619">
        <f t="shared" si="48"/>
        <v>717</v>
      </c>
      <c r="BJ39" s="480">
        <v>2</v>
      </c>
      <c r="BK39" s="441">
        <v>390</v>
      </c>
      <c r="BL39" s="441">
        <v>75</v>
      </c>
      <c r="BM39" s="441">
        <v>0</v>
      </c>
      <c r="BN39" s="619">
        <f t="shared" si="49"/>
        <v>467</v>
      </c>
      <c r="BO39" s="480">
        <v>253</v>
      </c>
      <c r="BP39" s="441">
        <v>7</v>
      </c>
      <c r="BQ39" s="441">
        <v>235</v>
      </c>
      <c r="BR39" s="441">
        <v>0</v>
      </c>
      <c r="BS39" s="619">
        <f t="shared" si="50"/>
        <v>495</v>
      </c>
      <c r="BT39" s="480">
        <v>298</v>
      </c>
      <c r="BU39" s="441">
        <v>33</v>
      </c>
      <c r="BV39" s="441">
        <v>250</v>
      </c>
      <c r="BW39" s="441">
        <v>0</v>
      </c>
      <c r="BX39" s="619">
        <f t="shared" si="51"/>
        <v>581</v>
      </c>
      <c r="BY39" s="480">
        <v>66</v>
      </c>
      <c r="BZ39" s="441">
        <v>59</v>
      </c>
      <c r="CA39" s="441">
        <v>508</v>
      </c>
      <c r="CB39" s="441">
        <v>0</v>
      </c>
      <c r="CC39" s="601">
        <f t="shared" si="52"/>
        <v>633</v>
      </c>
    </row>
    <row r="40" spans="1:81" ht="20.100000000000001" customHeight="1" x14ac:dyDescent="0.2">
      <c r="A40" s="210">
        <v>44126</v>
      </c>
      <c r="B40" s="470">
        <f t="shared" si="0"/>
        <v>9810</v>
      </c>
      <c r="C40" s="501">
        <f t="shared" si="35"/>
        <v>3014</v>
      </c>
      <c r="D40" s="498">
        <f t="shared" si="36"/>
        <v>2142</v>
      </c>
      <c r="E40" s="498">
        <f t="shared" si="37"/>
        <v>4412</v>
      </c>
      <c r="F40" s="498">
        <f t="shared" si="38"/>
        <v>242</v>
      </c>
      <c r="G40" s="480">
        <v>173</v>
      </c>
      <c r="H40" s="441">
        <v>456</v>
      </c>
      <c r="I40" s="441">
        <v>994</v>
      </c>
      <c r="J40" s="441">
        <v>10</v>
      </c>
      <c r="K40" s="601">
        <f t="shared" si="39"/>
        <v>1633</v>
      </c>
      <c r="L40" s="480">
        <v>7</v>
      </c>
      <c r="M40" s="441">
        <v>306</v>
      </c>
      <c r="N40" s="441">
        <v>374</v>
      </c>
      <c r="O40" s="441">
        <v>1</v>
      </c>
      <c r="P40" s="619">
        <f t="shared" si="40"/>
        <v>688</v>
      </c>
      <c r="Q40" s="480">
        <v>569</v>
      </c>
      <c r="R40" s="441">
        <v>8</v>
      </c>
      <c r="S40" s="441">
        <v>30</v>
      </c>
      <c r="T40" s="441">
        <v>0</v>
      </c>
      <c r="U40" s="619">
        <f t="shared" si="41"/>
        <v>607</v>
      </c>
      <c r="V40" s="477"/>
      <c r="W40" s="435"/>
      <c r="X40" s="435"/>
      <c r="Y40" s="435"/>
      <c r="Z40" s="492"/>
      <c r="AA40" s="480">
        <v>7</v>
      </c>
      <c r="AB40" s="441">
        <v>174</v>
      </c>
      <c r="AC40" s="441">
        <v>239</v>
      </c>
      <c r="AD40" s="441">
        <v>218</v>
      </c>
      <c r="AE40" s="619">
        <f t="shared" si="42"/>
        <v>638</v>
      </c>
      <c r="AF40" s="480">
        <v>169</v>
      </c>
      <c r="AG40" s="441">
        <v>116</v>
      </c>
      <c r="AH40" s="441">
        <v>199</v>
      </c>
      <c r="AI40" s="441">
        <v>0</v>
      </c>
      <c r="AJ40" s="619">
        <f t="shared" si="43"/>
        <v>484</v>
      </c>
      <c r="AK40" s="480">
        <v>314</v>
      </c>
      <c r="AL40" s="441">
        <v>4</v>
      </c>
      <c r="AM40" s="441">
        <f>296+1</f>
        <v>297</v>
      </c>
      <c r="AN40" s="441">
        <v>0</v>
      </c>
      <c r="AO40" s="619">
        <f t="shared" si="44"/>
        <v>615</v>
      </c>
      <c r="AP40" s="480">
        <v>341</v>
      </c>
      <c r="AQ40" s="441">
        <v>382</v>
      </c>
      <c r="AR40" s="441">
        <v>112</v>
      </c>
      <c r="AS40" s="441">
        <v>1</v>
      </c>
      <c r="AT40" s="619">
        <f t="shared" si="45"/>
        <v>836</v>
      </c>
      <c r="AU40" s="480">
        <v>715</v>
      </c>
      <c r="AV40" s="441">
        <v>1</v>
      </c>
      <c r="AW40" s="441">
        <v>3</v>
      </c>
      <c r="AX40" s="441">
        <v>0</v>
      </c>
      <c r="AY40" s="619">
        <f t="shared" si="46"/>
        <v>719</v>
      </c>
      <c r="AZ40" s="480">
        <v>2</v>
      </c>
      <c r="BA40" s="441">
        <v>151</v>
      </c>
      <c r="BB40" s="441">
        <v>517</v>
      </c>
      <c r="BC40" s="441">
        <v>11</v>
      </c>
      <c r="BD40" s="619">
        <f t="shared" si="47"/>
        <v>681</v>
      </c>
      <c r="BE40" s="480">
        <v>56</v>
      </c>
      <c r="BF40" s="441">
        <v>24</v>
      </c>
      <c r="BG40" s="441">
        <v>602</v>
      </c>
      <c r="BH40" s="441">
        <v>0</v>
      </c>
      <c r="BI40" s="619">
        <f t="shared" si="48"/>
        <v>682</v>
      </c>
      <c r="BJ40" s="480">
        <v>3</v>
      </c>
      <c r="BK40" s="441">
        <v>413</v>
      </c>
      <c r="BL40" s="441">
        <v>58</v>
      </c>
      <c r="BM40" s="441">
        <v>0</v>
      </c>
      <c r="BN40" s="619">
        <f t="shared" si="49"/>
        <v>474</v>
      </c>
      <c r="BO40" s="480">
        <v>261</v>
      </c>
      <c r="BP40" s="441">
        <v>4</v>
      </c>
      <c r="BQ40" s="441">
        <v>231</v>
      </c>
      <c r="BR40" s="441">
        <v>1</v>
      </c>
      <c r="BS40" s="619">
        <f t="shared" si="50"/>
        <v>497</v>
      </c>
      <c r="BT40" s="480">
        <v>318</v>
      </c>
      <c r="BU40" s="441">
        <v>45</v>
      </c>
      <c r="BV40" s="441">
        <v>259</v>
      </c>
      <c r="BW40" s="441">
        <v>0</v>
      </c>
      <c r="BX40" s="619">
        <f t="shared" si="51"/>
        <v>622</v>
      </c>
      <c r="BY40" s="480">
        <v>79</v>
      </c>
      <c r="BZ40" s="441">
        <v>58</v>
      </c>
      <c r="CA40" s="441">
        <v>497</v>
      </c>
      <c r="CB40" s="441">
        <v>0</v>
      </c>
      <c r="CC40" s="601">
        <f t="shared" si="52"/>
        <v>634</v>
      </c>
    </row>
    <row r="41" spans="1:81" ht="20.100000000000001" customHeight="1" x14ac:dyDescent="0.2">
      <c r="A41" s="210">
        <v>44127</v>
      </c>
      <c r="B41" s="470">
        <f t="shared" si="0"/>
        <v>9947</v>
      </c>
      <c r="C41" s="501">
        <f t="shared" si="35"/>
        <v>3047</v>
      </c>
      <c r="D41" s="498">
        <f t="shared" si="36"/>
        <v>2150</v>
      </c>
      <c r="E41" s="498">
        <f t="shared" si="37"/>
        <v>4599</v>
      </c>
      <c r="F41" s="498">
        <f t="shared" si="38"/>
        <v>151</v>
      </c>
      <c r="G41" s="480">
        <v>175</v>
      </c>
      <c r="H41" s="441">
        <v>475</v>
      </c>
      <c r="I41" s="441">
        <v>1109</v>
      </c>
      <c r="J41" s="441">
        <v>5</v>
      </c>
      <c r="K41" s="601">
        <f t="shared" si="39"/>
        <v>1764</v>
      </c>
      <c r="L41" s="480">
        <v>11</v>
      </c>
      <c r="M41" s="441">
        <v>307</v>
      </c>
      <c r="N41" s="441">
        <v>331</v>
      </c>
      <c r="O41" s="441">
        <v>0</v>
      </c>
      <c r="P41" s="619">
        <f t="shared" si="40"/>
        <v>649</v>
      </c>
      <c r="Q41" s="480">
        <v>601</v>
      </c>
      <c r="R41" s="441">
        <v>3</v>
      </c>
      <c r="S41" s="441">
        <v>20</v>
      </c>
      <c r="T41" s="441">
        <v>0</v>
      </c>
      <c r="U41" s="619">
        <f t="shared" si="41"/>
        <v>624</v>
      </c>
      <c r="V41" s="477"/>
      <c r="W41" s="435"/>
      <c r="X41" s="435"/>
      <c r="Y41" s="435"/>
      <c r="Z41" s="492"/>
      <c r="AA41" s="480">
        <v>5</v>
      </c>
      <c r="AB41" s="441">
        <v>195</v>
      </c>
      <c r="AC41" s="441">
        <v>251</v>
      </c>
      <c r="AD41" s="441">
        <v>141</v>
      </c>
      <c r="AE41" s="619">
        <f t="shared" si="42"/>
        <v>592</v>
      </c>
      <c r="AF41" s="480">
        <v>156</v>
      </c>
      <c r="AG41" s="441">
        <v>168</v>
      </c>
      <c r="AH41" s="441">
        <v>225</v>
      </c>
      <c r="AI41" s="441">
        <v>0</v>
      </c>
      <c r="AJ41" s="619">
        <f t="shared" si="43"/>
        <v>549</v>
      </c>
      <c r="AK41" s="480">
        <v>345</v>
      </c>
      <c r="AL41" s="441">
        <v>1</v>
      </c>
      <c r="AM41" s="441">
        <v>280</v>
      </c>
      <c r="AN41" s="441">
        <v>0</v>
      </c>
      <c r="AO41" s="619">
        <f t="shared" si="44"/>
        <v>626</v>
      </c>
      <c r="AP41" s="480">
        <v>334</v>
      </c>
      <c r="AQ41" s="441">
        <v>332</v>
      </c>
      <c r="AR41" s="441">
        <v>134</v>
      </c>
      <c r="AS41" s="441">
        <v>0</v>
      </c>
      <c r="AT41" s="619">
        <f t="shared" si="45"/>
        <v>800</v>
      </c>
      <c r="AU41" s="480">
        <v>766</v>
      </c>
      <c r="AV41" s="441">
        <v>2</v>
      </c>
      <c r="AW41" s="441">
        <v>5</v>
      </c>
      <c r="AX41" s="441">
        <v>0</v>
      </c>
      <c r="AY41" s="619">
        <f t="shared" si="46"/>
        <v>773</v>
      </c>
      <c r="AZ41" s="480">
        <v>3</v>
      </c>
      <c r="BA41" s="441">
        <v>152</v>
      </c>
      <c r="BB41" s="441">
        <v>524</v>
      </c>
      <c r="BC41" s="441">
        <v>3</v>
      </c>
      <c r="BD41" s="619">
        <f t="shared" si="47"/>
        <v>682</v>
      </c>
      <c r="BE41" s="480">
        <v>46</v>
      </c>
      <c r="BF41" s="441">
        <v>29</v>
      </c>
      <c r="BG41" s="441">
        <v>633</v>
      </c>
      <c r="BH41" s="441">
        <v>0</v>
      </c>
      <c r="BI41" s="619">
        <f t="shared" si="48"/>
        <v>708</v>
      </c>
      <c r="BJ41" s="480">
        <v>3</v>
      </c>
      <c r="BK41" s="441">
        <v>399</v>
      </c>
      <c r="BL41" s="441">
        <v>64</v>
      </c>
      <c r="BM41" s="441">
        <v>2</v>
      </c>
      <c r="BN41" s="619">
        <f t="shared" si="49"/>
        <v>468</v>
      </c>
      <c r="BO41" s="480">
        <v>234</v>
      </c>
      <c r="BP41" s="441">
        <v>3</v>
      </c>
      <c r="BQ41" s="441">
        <v>269</v>
      </c>
      <c r="BR41" s="441">
        <v>0</v>
      </c>
      <c r="BS41" s="619">
        <f t="shared" si="50"/>
        <v>506</v>
      </c>
      <c r="BT41" s="480">
        <v>304</v>
      </c>
      <c r="BU41" s="441">
        <v>42</v>
      </c>
      <c r="BV41" s="441">
        <v>233</v>
      </c>
      <c r="BW41" s="441">
        <v>0</v>
      </c>
      <c r="BX41" s="619">
        <f t="shared" si="51"/>
        <v>579</v>
      </c>
      <c r="BY41" s="480">
        <v>64</v>
      </c>
      <c r="BZ41" s="441">
        <v>42</v>
      </c>
      <c r="CA41" s="441">
        <v>521</v>
      </c>
      <c r="CB41" s="441">
        <v>0</v>
      </c>
      <c r="CC41" s="601">
        <f t="shared" si="52"/>
        <v>627</v>
      </c>
    </row>
    <row r="42" spans="1:81" ht="20.100000000000001" customHeight="1" x14ac:dyDescent="0.2">
      <c r="A42" s="210">
        <v>44128</v>
      </c>
      <c r="B42" s="470">
        <f t="shared" si="0"/>
        <v>11352</v>
      </c>
      <c r="C42" s="501">
        <f t="shared" ref="C42" si="53">G42+L42+Q42+V42+AA42+AF42+AK42+AP42+AU42+AZ42+BE42+BJ42+BO42+BT42+BY42</f>
        <v>3325</v>
      </c>
      <c r="D42" s="498">
        <f t="shared" ref="D42" si="54">H42+M42+R42+W42+AB42+AG42+AL42+AQ42+AV42+BA42+BF42+BK42+BP42+BU42+BZ42</f>
        <v>2734</v>
      </c>
      <c r="E42" s="498">
        <f t="shared" ref="E42" si="55">I42+N42+S42+X42+AC42+AH42+AM42+AR42+AW42+BB42+BG42+BL42+BQ42+BV42+CA42</f>
        <v>5069</v>
      </c>
      <c r="F42" s="498">
        <f t="shared" ref="F42" si="56">J42+O42+T42+Y42+AD42+AI42+AN42+AS42+AX42+BC42+BH42+BM42+BR42+BW42+CB42</f>
        <v>224</v>
      </c>
      <c r="G42" s="480">
        <v>96</v>
      </c>
      <c r="H42" s="441">
        <v>308</v>
      </c>
      <c r="I42" s="441">
        <v>882</v>
      </c>
      <c r="J42" s="441">
        <v>3</v>
      </c>
      <c r="K42" s="601">
        <f t="shared" si="39"/>
        <v>1289</v>
      </c>
      <c r="L42" s="480">
        <v>7</v>
      </c>
      <c r="M42" s="441">
        <v>255</v>
      </c>
      <c r="N42" s="441">
        <v>406</v>
      </c>
      <c r="O42" s="441">
        <v>0</v>
      </c>
      <c r="P42" s="619">
        <f t="shared" si="40"/>
        <v>668</v>
      </c>
      <c r="Q42" s="480">
        <v>656</v>
      </c>
      <c r="R42" s="441">
        <v>6</v>
      </c>
      <c r="S42" s="441">
        <v>32</v>
      </c>
      <c r="T42" s="441">
        <v>0</v>
      </c>
      <c r="U42" s="619">
        <f t="shared" si="41"/>
        <v>694</v>
      </c>
      <c r="V42" s="480">
        <v>16</v>
      </c>
      <c r="W42" s="441">
        <v>722</v>
      </c>
      <c r="X42" s="441">
        <v>60</v>
      </c>
      <c r="Y42" s="441">
        <v>0</v>
      </c>
      <c r="Z42" s="619">
        <f>SUM(V42:Y42)</f>
        <v>798</v>
      </c>
      <c r="AA42" s="480">
        <v>6</v>
      </c>
      <c r="AB42" s="441">
        <v>175</v>
      </c>
      <c r="AC42" s="441">
        <v>336</v>
      </c>
      <c r="AD42" s="441">
        <v>215</v>
      </c>
      <c r="AE42" s="619">
        <f t="shared" si="42"/>
        <v>732</v>
      </c>
      <c r="AF42" s="480">
        <v>232</v>
      </c>
      <c r="AG42" s="441">
        <v>172</v>
      </c>
      <c r="AH42" s="441">
        <v>267</v>
      </c>
      <c r="AI42" s="441">
        <v>0</v>
      </c>
      <c r="AJ42" s="619">
        <f t="shared" si="43"/>
        <v>671</v>
      </c>
      <c r="AK42" s="480">
        <v>366</v>
      </c>
      <c r="AL42" s="441">
        <v>6</v>
      </c>
      <c r="AM42" s="441">
        <v>363</v>
      </c>
      <c r="AN42" s="441">
        <v>0</v>
      </c>
      <c r="AO42" s="619">
        <f t="shared" si="44"/>
        <v>735</v>
      </c>
      <c r="AP42" s="480">
        <v>330</v>
      </c>
      <c r="AQ42" s="441">
        <v>436</v>
      </c>
      <c r="AR42" s="441">
        <v>163</v>
      </c>
      <c r="AS42" s="441">
        <v>0</v>
      </c>
      <c r="AT42" s="619">
        <f t="shared" si="45"/>
        <v>929</v>
      </c>
      <c r="AU42" s="480">
        <v>880</v>
      </c>
      <c r="AV42" s="441">
        <v>2</v>
      </c>
      <c r="AW42" s="441">
        <v>5</v>
      </c>
      <c r="AX42" s="441">
        <v>0</v>
      </c>
      <c r="AY42" s="619">
        <f t="shared" si="46"/>
        <v>887</v>
      </c>
      <c r="AZ42" s="480">
        <v>4</v>
      </c>
      <c r="BA42" s="441">
        <v>108</v>
      </c>
      <c r="BB42" s="441">
        <v>656</v>
      </c>
      <c r="BC42" s="441">
        <v>6</v>
      </c>
      <c r="BD42" s="619">
        <f t="shared" si="47"/>
        <v>774</v>
      </c>
      <c r="BE42" s="480">
        <v>30</v>
      </c>
      <c r="BF42" s="441">
        <v>20</v>
      </c>
      <c r="BG42" s="441">
        <v>639</v>
      </c>
      <c r="BH42" s="441">
        <v>0</v>
      </c>
      <c r="BI42" s="619">
        <f t="shared" si="48"/>
        <v>689</v>
      </c>
      <c r="BJ42" s="480">
        <v>1</v>
      </c>
      <c r="BK42" s="441">
        <v>433</v>
      </c>
      <c r="BL42" s="441">
        <v>96</v>
      </c>
      <c r="BM42" s="441">
        <v>0</v>
      </c>
      <c r="BN42" s="619">
        <f t="shared" si="49"/>
        <v>530</v>
      </c>
      <c r="BO42" s="480">
        <v>279</v>
      </c>
      <c r="BP42" s="441">
        <v>13</v>
      </c>
      <c r="BQ42" s="441">
        <v>303</v>
      </c>
      <c r="BR42" s="441">
        <v>0</v>
      </c>
      <c r="BS42" s="619">
        <f t="shared" si="50"/>
        <v>595</v>
      </c>
      <c r="BT42" s="480">
        <v>303</v>
      </c>
      <c r="BU42" s="441">
        <v>26</v>
      </c>
      <c r="BV42" s="441">
        <v>276</v>
      </c>
      <c r="BW42" s="441">
        <v>0</v>
      </c>
      <c r="BX42" s="619">
        <f t="shared" si="51"/>
        <v>605</v>
      </c>
      <c r="BY42" s="480">
        <v>119</v>
      </c>
      <c r="BZ42" s="441">
        <v>52</v>
      </c>
      <c r="CA42" s="441">
        <v>585</v>
      </c>
      <c r="CB42" s="441">
        <v>0</v>
      </c>
      <c r="CC42" s="601">
        <f t="shared" si="52"/>
        <v>756</v>
      </c>
    </row>
    <row r="43" spans="1:81" ht="20.100000000000001" customHeight="1" x14ac:dyDescent="0.2">
      <c r="A43" s="352">
        <v>44129</v>
      </c>
      <c r="B43" s="483"/>
      <c r="C43" s="500"/>
      <c r="D43" s="492"/>
      <c r="E43" s="492"/>
      <c r="F43" s="492"/>
      <c r="G43" s="477"/>
      <c r="H43" s="435"/>
      <c r="I43" s="435"/>
      <c r="J43" s="435"/>
      <c r="K43" s="493"/>
      <c r="L43" s="477"/>
      <c r="M43" s="435"/>
      <c r="N43" s="435"/>
      <c r="O43" s="435"/>
      <c r="P43" s="492"/>
      <c r="Q43" s="477"/>
      <c r="R43" s="435"/>
      <c r="S43" s="435"/>
      <c r="T43" s="435"/>
      <c r="U43" s="492"/>
      <c r="V43" s="477"/>
      <c r="W43" s="435"/>
      <c r="X43" s="435"/>
      <c r="Y43" s="435"/>
      <c r="Z43" s="492"/>
      <c r="AA43" s="477"/>
      <c r="AB43" s="435"/>
      <c r="AC43" s="435"/>
      <c r="AD43" s="435"/>
      <c r="AE43" s="492"/>
      <c r="AF43" s="477"/>
      <c r="AG43" s="435"/>
      <c r="AH43" s="435"/>
      <c r="AI43" s="435"/>
      <c r="AJ43" s="492"/>
      <c r="AK43" s="477"/>
      <c r="AL43" s="435"/>
      <c r="AM43" s="435"/>
      <c r="AN43" s="435"/>
      <c r="AO43" s="492"/>
      <c r="AP43" s="477"/>
      <c r="AQ43" s="435"/>
      <c r="AR43" s="435"/>
      <c r="AS43" s="435"/>
      <c r="AT43" s="492"/>
      <c r="AU43" s="477"/>
      <c r="AV43" s="435"/>
      <c r="AW43" s="435"/>
      <c r="AX43" s="435"/>
      <c r="AY43" s="492"/>
      <c r="AZ43" s="477"/>
      <c r="BA43" s="435"/>
      <c r="BB43" s="435"/>
      <c r="BC43" s="435"/>
      <c r="BD43" s="492"/>
      <c r="BE43" s="477"/>
      <c r="BF43" s="435"/>
      <c r="BG43" s="435"/>
      <c r="BH43" s="435"/>
      <c r="BI43" s="492"/>
      <c r="BJ43" s="477"/>
      <c r="BK43" s="435"/>
      <c r="BL43" s="435"/>
      <c r="BM43" s="435"/>
      <c r="BN43" s="492"/>
      <c r="BO43" s="477"/>
      <c r="BP43" s="435"/>
      <c r="BQ43" s="435"/>
      <c r="BR43" s="435"/>
      <c r="BS43" s="492"/>
      <c r="BT43" s="477"/>
      <c r="BU43" s="435"/>
      <c r="BV43" s="435"/>
      <c r="BW43" s="435"/>
      <c r="BX43" s="492"/>
      <c r="BY43" s="477"/>
      <c r="BZ43" s="435"/>
      <c r="CA43" s="435"/>
      <c r="CB43" s="435"/>
      <c r="CC43" s="493"/>
    </row>
    <row r="44" spans="1:81" ht="20.100000000000001" customHeight="1" x14ac:dyDescent="0.2">
      <c r="A44" s="210">
        <v>44130</v>
      </c>
      <c r="B44" s="470">
        <f>SUM(C44:F44)</f>
        <v>10565</v>
      </c>
      <c r="C44" s="501">
        <f t="shared" ref="C44:F48" si="57">G44+L44+Q44+V44+AA44+AF44+AK44+AP44+AU44+AZ44+BE44+BJ44+BO44+BT44+BY44</f>
        <v>3149</v>
      </c>
      <c r="D44" s="498">
        <f t="shared" si="57"/>
        <v>2255</v>
      </c>
      <c r="E44" s="498">
        <f t="shared" si="57"/>
        <v>4965</v>
      </c>
      <c r="F44" s="498">
        <f t="shared" si="57"/>
        <v>196</v>
      </c>
      <c r="G44" s="480">
        <v>161</v>
      </c>
      <c r="H44" s="441">
        <v>471</v>
      </c>
      <c r="I44" s="441">
        <v>1136</v>
      </c>
      <c r="J44" s="441">
        <v>5</v>
      </c>
      <c r="K44" s="601">
        <f t="shared" ref="K44:K49" si="58">SUM(G44:J44)</f>
        <v>1773</v>
      </c>
      <c r="L44" s="480">
        <v>5</v>
      </c>
      <c r="M44" s="441">
        <v>313</v>
      </c>
      <c r="N44" s="441">
        <v>374</v>
      </c>
      <c r="O44" s="441">
        <v>1</v>
      </c>
      <c r="P44" s="619">
        <f t="shared" ref="P44:P50" si="59">SUM(L44:O44)</f>
        <v>693</v>
      </c>
      <c r="Q44" s="480">
        <v>560</v>
      </c>
      <c r="R44" s="441">
        <v>2</v>
      </c>
      <c r="S44" s="441">
        <v>27</v>
      </c>
      <c r="T44" s="441">
        <v>0</v>
      </c>
      <c r="U44" s="619">
        <f t="shared" ref="U44:U50" si="60">SUM(Q44:T44)</f>
        <v>589</v>
      </c>
      <c r="V44" s="477"/>
      <c r="W44" s="435"/>
      <c r="X44" s="435"/>
      <c r="Y44" s="435"/>
      <c r="Z44" s="492"/>
      <c r="AA44" s="480">
        <v>6</v>
      </c>
      <c r="AB44" s="441">
        <f>188+1</f>
        <v>189</v>
      </c>
      <c r="AC44" s="441">
        <v>295</v>
      </c>
      <c r="AD44" s="441">
        <v>180</v>
      </c>
      <c r="AE44" s="619">
        <f t="shared" ref="AE44:AE50" si="61">SUM(AA44:AD44)</f>
        <v>670</v>
      </c>
      <c r="AF44" s="480">
        <v>238</v>
      </c>
      <c r="AG44" s="441">
        <v>129</v>
      </c>
      <c r="AH44" s="441">
        <v>245</v>
      </c>
      <c r="AI44" s="441">
        <v>0</v>
      </c>
      <c r="AJ44" s="619">
        <f t="shared" ref="AJ44:AJ50" si="62">SUM(AF44:AI44)</f>
        <v>612</v>
      </c>
      <c r="AK44" s="480">
        <v>334</v>
      </c>
      <c r="AL44" s="441">
        <v>3</v>
      </c>
      <c r="AM44" s="441">
        <v>267</v>
      </c>
      <c r="AN44" s="441">
        <v>0</v>
      </c>
      <c r="AO44" s="619">
        <f t="shared" ref="AO44:AO50" si="63">SUM(AK44:AN44)</f>
        <v>604</v>
      </c>
      <c r="AP44" s="480">
        <v>262</v>
      </c>
      <c r="AQ44" s="441">
        <v>432</v>
      </c>
      <c r="AR44" s="441">
        <v>116</v>
      </c>
      <c r="AS44" s="441">
        <v>2</v>
      </c>
      <c r="AT44" s="619">
        <f t="shared" ref="AT44:AT50" si="64">SUM(AP44:AS44)</f>
        <v>812</v>
      </c>
      <c r="AU44" s="480">
        <v>808</v>
      </c>
      <c r="AV44" s="441">
        <v>1</v>
      </c>
      <c r="AW44" s="441">
        <v>6</v>
      </c>
      <c r="AX44" s="441">
        <v>0</v>
      </c>
      <c r="AY44" s="619">
        <f t="shared" ref="AY44:AY50" si="65">SUM(AU44:AX44)</f>
        <v>815</v>
      </c>
      <c r="AZ44" s="480">
        <v>3</v>
      </c>
      <c r="BA44" s="441">
        <v>156</v>
      </c>
      <c r="BB44" s="441">
        <v>554</v>
      </c>
      <c r="BC44" s="441">
        <v>8</v>
      </c>
      <c r="BD44" s="619">
        <f t="shared" ref="BD44:BD49" si="66">SUM(AZ44:BC44)</f>
        <v>721</v>
      </c>
      <c r="BE44" s="480">
        <v>47</v>
      </c>
      <c r="BF44" s="441">
        <v>30</v>
      </c>
      <c r="BG44" s="441">
        <v>651</v>
      </c>
      <c r="BH44" s="441">
        <v>0</v>
      </c>
      <c r="BI44" s="619">
        <f t="shared" ref="BI44:BI50" si="67">SUM(BE44:BH44)</f>
        <v>728</v>
      </c>
      <c r="BJ44" s="480">
        <v>3</v>
      </c>
      <c r="BK44" s="441">
        <v>431</v>
      </c>
      <c r="BL44" s="441">
        <v>88</v>
      </c>
      <c r="BM44" s="441">
        <v>0</v>
      </c>
      <c r="BN44" s="619">
        <f t="shared" ref="BN44:BN50" si="68">SUM(BJ44:BM44)</f>
        <v>522</v>
      </c>
      <c r="BO44" s="480">
        <v>282</v>
      </c>
      <c r="BP44" s="441">
        <v>2</v>
      </c>
      <c r="BQ44" s="441">
        <v>309</v>
      </c>
      <c r="BR44" s="441">
        <v>0</v>
      </c>
      <c r="BS44" s="619">
        <f t="shared" ref="BS44:BS50" si="69">SUM(BO44:BR44)</f>
        <v>593</v>
      </c>
      <c r="BT44" s="480">
        <v>319</v>
      </c>
      <c r="BU44" s="441">
        <v>41</v>
      </c>
      <c r="BV44" s="441">
        <v>316</v>
      </c>
      <c r="BW44" s="441">
        <v>0</v>
      </c>
      <c r="BX44" s="619">
        <f t="shared" ref="BX44:BX50" si="70">SUM(BT44:BW44)</f>
        <v>676</v>
      </c>
      <c r="BY44" s="480">
        <v>121</v>
      </c>
      <c r="BZ44" s="441">
        <v>55</v>
      </c>
      <c r="CA44" s="441">
        <v>581</v>
      </c>
      <c r="CB44" s="441">
        <v>0</v>
      </c>
      <c r="CC44" s="601">
        <f t="shared" ref="CC44:CC50" si="71">SUM(BY44:CB44)</f>
        <v>757</v>
      </c>
    </row>
    <row r="45" spans="1:81" ht="20.100000000000001" customHeight="1" x14ac:dyDescent="0.2">
      <c r="A45" s="210">
        <v>44131</v>
      </c>
      <c r="B45" s="470">
        <f t="shared" si="0"/>
        <v>10945</v>
      </c>
      <c r="C45" s="501">
        <f t="shared" si="57"/>
        <v>3328</v>
      </c>
      <c r="D45" s="498">
        <f t="shared" si="57"/>
        <v>2294</v>
      </c>
      <c r="E45" s="498">
        <f t="shared" si="57"/>
        <v>5119</v>
      </c>
      <c r="F45" s="498">
        <f t="shared" si="57"/>
        <v>204</v>
      </c>
      <c r="G45" s="480">
        <v>172</v>
      </c>
      <c r="H45" s="441">
        <v>508</v>
      </c>
      <c r="I45" s="441">
        <v>1229</v>
      </c>
      <c r="J45" s="441">
        <v>13</v>
      </c>
      <c r="K45" s="601">
        <f t="shared" si="58"/>
        <v>1922</v>
      </c>
      <c r="L45" s="480">
        <v>6</v>
      </c>
      <c r="M45" s="441">
        <v>283</v>
      </c>
      <c r="N45" s="441">
        <v>415</v>
      </c>
      <c r="O45" s="441">
        <v>1</v>
      </c>
      <c r="P45" s="619">
        <f t="shared" si="59"/>
        <v>705</v>
      </c>
      <c r="Q45" s="480">
        <v>599</v>
      </c>
      <c r="R45" s="441">
        <v>2</v>
      </c>
      <c r="S45" s="441">
        <v>23</v>
      </c>
      <c r="T45" s="441">
        <v>0</v>
      </c>
      <c r="U45" s="619">
        <f t="shared" si="60"/>
        <v>624</v>
      </c>
      <c r="V45" s="477"/>
      <c r="W45" s="435"/>
      <c r="X45" s="435"/>
      <c r="Y45" s="435"/>
      <c r="Z45" s="492"/>
      <c r="AA45" s="480">
        <v>3</v>
      </c>
      <c r="AB45" s="441">
        <v>171</v>
      </c>
      <c r="AC45" s="441">
        <v>307</v>
      </c>
      <c r="AD45" s="441">
        <v>185</v>
      </c>
      <c r="AE45" s="619">
        <f t="shared" si="61"/>
        <v>666</v>
      </c>
      <c r="AF45" s="480">
        <v>217</v>
      </c>
      <c r="AG45" s="441">
        <v>144</v>
      </c>
      <c r="AH45" s="441">
        <v>273</v>
      </c>
      <c r="AI45" s="441">
        <v>0</v>
      </c>
      <c r="AJ45" s="619">
        <f t="shared" si="62"/>
        <v>634</v>
      </c>
      <c r="AK45" s="480">
        <v>357</v>
      </c>
      <c r="AL45" s="441">
        <v>4</v>
      </c>
      <c r="AM45" s="441">
        <v>272</v>
      </c>
      <c r="AN45" s="441">
        <v>0</v>
      </c>
      <c r="AO45" s="619">
        <f t="shared" si="63"/>
        <v>633</v>
      </c>
      <c r="AP45" s="480">
        <v>305</v>
      </c>
      <c r="AQ45" s="441">
        <v>412</v>
      </c>
      <c r="AR45" s="441">
        <v>134</v>
      </c>
      <c r="AS45" s="441">
        <v>0</v>
      </c>
      <c r="AT45" s="619">
        <f t="shared" si="64"/>
        <v>851</v>
      </c>
      <c r="AU45" s="480">
        <v>865</v>
      </c>
      <c r="AV45" s="441">
        <v>0</v>
      </c>
      <c r="AW45" s="441">
        <v>4</v>
      </c>
      <c r="AX45" s="441">
        <v>0</v>
      </c>
      <c r="AY45" s="619">
        <f t="shared" si="65"/>
        <v>869</v>
      </c>
      <c r="AZ45" s="480">
        <v>4</v>
      </c>
      <c r="BA45" s="441">
        <v>129</v>
      </c>
      <c r="BB45" s="441">
        <v>554</v>
      </c>
      <c r="BC45" s="441">
        <v>1</v>
      </c>
      <c r="BD45" s="619">
        <f t="shared" si="66"/>
        <v>688</v>
      </c>
      <c r="BE45" s="480">
        <v>50</v>
      </c>
      <c r="BF45" s="441">
        <v>33</v>
      </c>
      <c r="BG45" s="441">
        <v>660</v>
      </c>
      <c r="BH45" s="441">
        <v>0</v>
      </c>
      <c r="BI45" s="619">
        <f t="shared" si="67"/>
        <v>743</v>
      </c>
      <c r="BJ45" s="480">
        <v>5</v>
      </c>
      <c r="BK45" s="441">
        <v>481</v>
      </c>
      <c r="BL45" s="441">
        <v>94</v>
      </c>
      <c r="BM45" s="441">
        <v>2</v>
      </c>
      <c r="BN45" s="619">
        <f t="shared" si="68"/>
        <v>582</v>
      </c>
      <c r="BO45" s="480">
        <v>312</v>
      </c>
      <c r="BP45" s="441">
        <v>12</v>
      </c>
      <c r="BQ45" s="441">
        <v>293</v>
      </c>
      <c r="BR45" s="441">
        <v>1</v>
      </c>
      <c r="BS45" s="619">
        <f t="shared" si="69"/>
        <v>618</v>
      </c>
      <c r="BT45" s="480">
        <v>332</v>
      </c>
      <c r="BU45" s="441">
        <v>55</v>
      </c>
      <c r="BV45" s="441">
        <v>298</v>
      </c>
      <c r="BW45" s="441">
        <v>1</v>
      </c>
      <c r="BX45" s="619">
        <f t="shared" si="70"/>
        <v>686</v>
      </c>
      <c r="BY45" s="480">
        <v>101</v>
      </c>
      <c r="BZ45" s="441">
        <v>60</v>
      </c>
      <c r="CA45" s="441">
        <v>563</v>
      </c>
      <c r="CB45" s="441">
        <v>0</v>
      </c>
      <c r="CC45" s="601">
        <f t="shared" si="71"/>
        <v>724</v>
      </c>
    </row>
    <row r="46" spans="1:81" ht="20.100000000000001" customHeight="1" x14ac:dyDescent="0.2">
      <c r="A46" s="210">
        <v>44132</v>
      </c>
      <c r="B46" s="470">
        <f>SUM(C46:F46)</f>
        <v>11172</v>
      </c>
      <c r="C46" s="501">
        <f t="shared" si="57"/>
        <v>3442</v>
      </c>
      <c r="D46" s="498">
        <f t="shared" si="57"/>
        <v>2245</v>
      </c>
      <c r="E46" s="498">
        <f t="shared" si="57"/>
        <v>5284</v>
      </c>
      <c r="F46" s="498">
        <f t="shared" si="57"/>
        <v>201</v>
      </c>
      <c r="G46" s="480">
        <v>210</v>
      </c>
      <c r="H46" s="441">
        <v>539</v>
      </c>
      <c r="I46" s="441">
        <v>1240</v>
      </c>
      <c r="J46" s="441">
        <v>1</v>
      </c>
      <c r="K46" s="601">
        <f t="shared" si="58"/>
        <v>1990</v>
      </c>
      <c r="L46" s="480">
        <v>7</v>
      </c>
      <c r="M46" s="441">
        <v>285</v>
      </c>
      <c r="N46" s="441">
        <v>370</v>
      </c>
      <c r="O46" s="441">
        <v>1</v>
      </c>
      <c r="P46" s="619">
        <f t="shared" si="59"/>
        <v>663</v>
      </c>
      <c r="Q46" s="480">
        <v>590</v>
      </c>
      <c r="R46" s="441">
        <v>4</v>
      </c>
      <c r="S46" s="441">
        <v>26</v>
      </c>
      <c r="T46" s="441">
        <v>0</v>
      </c>
      <c r="U46" s="619">
        <f t="shared" si="60"/>
        <v>620</v>
      </c>
      <c r="V46" s="477"/>
      <c r="W46" s="435"/>
      <c r="X46" s="435"/>
      <c r="Y46" s="435"/>
      <c r="Z46" s="492"/>
      <c r="AA46" s="480">
        <v>5</v>
      </c>
      <c r="AB46" s="441">
        <v>156</v>
      </c>
      <c r="AC46" s="441">
        <v>335</v>
      </c>
      <c r="AD46" s="441">
        <v>178</v>
      </c>
      <c r="AE46" s="619">
        <f t="shared" si="61"/>
        <v>674</v>
      </c>
      <c r="AF46" s="480">
        <v>239</v>
      </c>
      <c r="AG46" s="441">
        <v>134</v>
      </c>
      <c r="AH46" s="441">
        <v>316</v>
      </c>
      <c r="AI46" s="441">
        <v>0</v>
      </c>
      <c r="AJ46" s="619">
        <f t="shared" si="62"/>
        <v>689</v>
      </c>
      <c r="AK46" s="480">
        <v>351</v>
      </c>
      <c r="AL46" s="441">
        <v>10</v>
      </c>
      <c r="AM46" s="441">
        <v>300</v>
      </c>
      <c r="AN46" s="441">
        <v>0</v>
      </c>
      <c r="AO46" s="619">
        <f t="shared" si="63"/>
        <v>661</v>
      </c>
      <c r="AP46" s="480">
        <v>329</v>
      </c>
      <c r="AQ46" s="441">
        <v>383</v>
      </c>
      <c r="AR46" s="441">
        <v>175</v>
      </c>
      <c r="AS46" s="441">
        <v>1</v>
      </c>
      <c r="AT46" s="619">
        <f t="shared" si="64"/>
        <v>888</v>
      </c>
      <c r="AU46" s="480">
        <v>888</v>
      </c>
      <c r="AV46" s="441">
        <v>0</v>
      </c>
      <c r="AW46" s="441">
        <v>3</v>
      </c>
      <c r="AX46" s="441">
        <v>0</v>
      </c>
      <c r="AY46" s="619">
        <f t="shared" si="65"/>
        <v>891</v>
      </c>
      <c r="AZ46" s="480">
        <v>2</v>
      </c>
      <c r="BA46" s="441">
        <v>123</v>
      </c>
      <c r="BB46" s="441">
        <v>629</v>
      </c>
      <c r="BC46" s="441">
        <v>18</v>
      </c>
      <c r="BD46" s="619">
        <f t="shared" si="66"/>
        <v>772</v>
      </c>
      <c r="BE46" s="480">
        <v>45</v>
      </c>
      <c r="BF46" s="441">
        <v>48</v>
      </c>
      <c r="BG46" s="441">
        <v>689</v>
      </c>
      <c r="BH46" s="441">
        <v>0</v>
      </c>
      <c r="BI46" s="619">
        <f t="shared" si="67"/>
        <v>782</v>
      </c>
      <c r="BJ46" s="480">
        <v>6</v>
      </c>
      <c r="BK46" s="441">
        <v>470</v>
      </c>
      <c r="BL46" s="441">
        <v>94</v>
      </c>
      <c r="BM46" s="441">
        <v>2</v>
      </c>
      <c r="BN46" s="619">
        <f t="shared" si="68"/>
        <v>572</v>
      </c>
      <c r="BO46" s="480">
        <v>321</v>
      </c>
      <c r="BP46" s="441">
        <v>11</v>
      </c>
      <c r="BQ46" s="441">
        <v>304</v>
      </c>
      <c r="BR46" s="441">
        <v>0</v>
      </c>
      <c r="BS46" s="619">
        <f t="shared" si="69"/>
        <v>636</v>
      </c>
      <c r="BT46" s="480">
        <v>349</v>
      </c>
      <c r="BU46" s="441">
        <v>41</v>
      </c>
      <c r="BV46" s="441">
        <v>276</v>
      </c>
      <c r="BW46" s="441">
        <v>0</v>
      </c>
      <c r="BX46" s="619">
        <f t="shared" si="70"/>
        <v>666</v>
      </c>
      <c r="BY46" s="480">
        <v>100</v>
      </c>
      <c r="BZ46" s="441">
        <v>41</v>
      </c>
      <c r="CA46" s="441">
        <v>527</v>
      </c>
      <c r="CB46" s="441">
        <v>0</v>
      </c>
      <c r="CC46" s="601">
        <f t="shared" si="71"/>
        <v>668</v>
      </c>
    </row>
    <row r="47" spans="1:81" ht="20.100000000000001" customHeight="1" x14ac:dyDescent="0.2">
      <c r="A47" s="210">
        <v>44133</v>
      </c>
      <c r="B47" s="470">
        <f t="shared" si="0"/>
        <v>13751</v>
      </c>
      <c r="C47" s="501">
        <f t="shared" si="57"/>
        <v>4116</v>
      </c>
      <c r="D47" s="498">
        <f t="shared" si="57"/>
        <v>2871</v>
      </c>
      <c r="E47" s="498">
        <f t="shared" si="57"/>
        <v>6476</v>
      </c>
      <c r="F47" s="498">
        <f t="shared" si="57"/>
        <v>288</v>
      </c>
      <c r="G47" s="480">
        <v>155</v>
      </c>
      <c r="H47" s="441">
        <v>503</v>
      </c>
      <c r="I47" s="441">
        <v>1348</v>
      </c>
      <c r="J47" s="441">
        <v>7</v>
      </c>
      <c r="K47" s="601">
        <f t="shared" si="58"/>
        <v>2013</v>
      </c>
      <c r="L47" s="480">
        <v>6</v>
      </c>
      <c r="M47" s="441">
        <v>393</v>
      </c>
      <c r="N47" s="441">
        <v>508</v>
      </c>
      <c r="O47" s="441">
        <v>0</v>
      </c>
      <c r="P47" s="619">
        <f t="shared" si="59"/>
        <v>907</v>
      </c>
      <c r="Q47" s="480">
        <v>788</v>
      </c>
      <c r="R47" s="441">
        <v>4</v>
      </c>
      <c r="S47" s="441">
        <v>42</v>
      </c>
      <c r="T47" s="441">
        <v>0</v>
      </c>
      <c r="U47" s="619">
        <f t="shared" si="60"/>
        <v>834</v>
      </c>
      <c r="V47" s="477"/>
      <c r="W47" s="435"/>
      <c r="X47" s="435"/>
      <c r="Y47" s="435"/>
      <c r="Z47" s="492"/>
      <c r="AA47" s="480">
        <v>11</v>
      </c>
      <c r="AB47" s="441">
        <v>214</v>
      </c>
      <c r="AC47" s="441">
        <v>365</v>
      </c>
      <c r="AD47" s="441">
        <v>267</v>
      </c>
      <c r="AE47" s="619">
        <f t="shared" si="61"/>
        <v>857</v>
      </c>
      <c r="AF47" s="480">
        <v>280</v>
      </c>
      <c r="AG47" s="441">
        <v>230</v>
      </c>
      <c r="AH47" s="441">
        <v>322</v>
      </c>
      <c r="AI47" s="441">
        <v>0</v>
      </c>
      <c r="AJ47" s="619">
        <f t="shared" si="62"/>
        <v>832</v>
      </c>
      <c r="AK47" s="480">
        <v>477</v>
      </c>
      <c r="AL47" s="441">
        <v>4</v>
      </c>
      <c r="AM47" s="441">
        <v>378</v>
      </c>
      <c r="AN47" s="441">
        <v>0</v>
      </c>
      <c r="AO47" s="619">
        <f t="shared" si="63"/>
        <v>859</v>
      </c>
      <c r="AP47" s="480">
        <v>352</v>
      </c>
      <c r="AQ47" s="441">
        <v>495</v>
      </c>
      <c r="AR47" s="441">
        <v>194</v>
      </c>
      <c r="AS47" s="441">
        <v>0</v>
      </c>
      <c r="AT47" s="619">
        <f t="shared" si="64"/>
        <v>1041</v>
      </c>
      <c r="AU47" s="376">
        <v>1054</v>
      </c>
      <c r="AV47" s="83">
        <v>1</v>
      </c>
      <c r="AW47" s="83">
        <v>12</v>
      </c>
      <c r="AX47" s="83">
        <v>0</v>
      </c>
      <c r="AY47" s="619">
        <f t="shared" si="65"/>
        <v>1067</v>
      </c>
      <c r="AZ47" s="480">
        <v>3</v>
      </c>
      <c r="BA47" s="441">
        <v>186</v>
      </c>
      <c r="BB47" s="441">
        <v>763</v>
      </c>
      <c r="BC47" s="441">
        <v>13</v>
      </c>
      <c r="BD47" s="619">
        <f t="shared" si="66"/>
        <v>965</v>
      </c>
      <c r="BE47" s="480">
        <v>62</v>
      </c>
      <c r="BF47" s="441">
        <v>40</v>
      </c>
      <c r="BG47" s="441">
        <v>875</v>
      </c>
      <c r="BH47" s="441">
        <v>0</v>
      </c>
      <c r="BI47" s="619">
        <f t="shared" si="67"/>
        <v>977</v>
      </c>
      <c r="BJ47" s="480">
        <v>8</v>
      </c>
      <c r="BK47" s="441">
        <v>637</v>
      </c>
      <c r="BL47" s="441">
        <v>134</v>
      </c>
      <c r="BM47" s="441">
        <v>1</v>
      </c>
      <c r="BN47" s="619">
        <f t="shared" si="68"/>
        <v>780</v>
      </c>
      <c r="BO47" s="480">
        <v>410</v>
      </c>
      <c r="BP47" s="441">
        <v>14</v>
      </c>
      <c r="BQ47" s="441">
        <v>442</v>
      </c>
      <c r="BR47" s="441">
        <v>0</v>
      </c>
      <c r="BS47" s="619">
        <f t="shared" si="69"/>
        <v>866</v>
      </c>
      <c r="BT47" s="480">
        <v>392</v>
      </c>
      <c r="BU47" s="441">
        <f>74+1</f>
        <v>75</v>
      </c>
      <c r="BV47" s="441">
        <v>390</v>
      </c>
      <c r="BW47" s="441">
        <v>0</v>
      </c>
      <c r="BX47" s="619">
        <f t="shared" si="70"/>
        <v>857</v>
      </c>
      <c r="BY47" s="480">
        <v>118</v>
      </c>
      <c r="BZ47" s="441">
        <v>75</v>
      </c>
      <c r="CA47" s="441">
        <v>703</v>
      </c>
      <c r="CB47" s="441">
        <v>0</v>
      </c>
      <c r="CC47" s="601">
        <f t="shared" si="71"/>
        <v>896</v>
      </c>
    </row>
    <row r="48" spans="1:81" ht="20.100000000000001" customHeight="1" x14ac:dyDescent="0.2">
      <c r="A48" s="210">
        <v>44134</v>
      </c>
      <c r="B48" s="470">
        <f t="shared" si="0"/>
        <v>14165</v>
      </c>
      <c r="C48" s="501">
        <f t="shared" si="57"/>
        <v>4293</v>
      </c>
      <c r="D48" s="498">
        <f t="shared" si="57"/>
        <v>2863</v>
      </c>
      <c r="E48" s="498">
        <f t="shared" si="57"/>
        <v>6740</v>
      </c>
      <c r="F48" s="498">
        <f t="shared" si="57"/>
        <v>269</v>
      </c>
      <c r="G48" s="480">
        <v>163</v>
      </c>
      <c r="H48" s="441">
        <v>535</v>
      </c>
      <c r="I48" s="441">
        <v>1410</v>
      </c>
      <c r="J48" s="441">
        <v>6</v>
      </c>
      <c r="K48" s="601">
        <f t="shared" si="58"/>
        <v>2114</v>
      </c>
      <c r="L48" s="480">
        <v>16</v>
      </c>
      <c r="M48" s="441">
        <v>414</v>
      </c>
      <c r="N48" s="441">
        <v>595</v>
      </c>
      <c r="O48" s="441">
        <v>1</v>
      </c>
      <c r="P48" s="619">
        <f t="shared" si="59"/>
        <v>1026</v>
      </c>
      <c r="Q48" s="731">
        <v>807</v>
      </c>
      <c r="R48" s="72">
        <v>6</v>
      </c>
      <c r="S48" s="72">
        <v>33</v>
      </c>
      <c r="T48" s="75">
        <v>0</v>
      </c>
      <c r="U48" s="619">
        <f t="shared" si="60"/>
        <v>846</v>
      </c>
      <c r="V48" s="477"/>
      <c r="W48" s="435"/>
      <c r="X48" s="435"/>
      <c r="Y48" s="435"/>
      <c r="Z48" s="492"/>
      <c r="AA48" s="480">
        <v>9</v>
      </c>
      <c r="AB48" s="441">
        <v>241</v>
      </c>
      <c r="AC48" s="441">
        <v>424</v>
      </c>
      <c r="AD48" s="441">
        <v>248</v>
      </c>
      <c r="AE48" s="619">
        <f t="shared" si="61"/>
        <v>922</v>
      </c>
      <c r="AF48" s="480">
        <v>362</v>
      </c>
      <c r="AG48" s="441">
        <v>197</v>
      </c>
      <c r="AH48" s="441">
        <v>353</v>
      </c>
      <c r="AI48" s="441">
        <v>0</v>
      </c>
      <c r="AJ48" s="619">
        <f t="shared" si="62"/>
        <v>912</v>
      </c>
      <c r="AK48" s="480">
        <v>463</v>
      </c>
      <c r="AL48" s="441">
        <v>9</v>
      </c>
      <c r="AM48" s="441">
        <v>361</v>
      </c>
      <c r="AN48" s="441">
        <v>0</v>
      </c>
      <c r="AO48" s="619">
        <f t="shared" si="63"/>
        <v>833</v>
      </c>
      <c r="AP48" s="480">
        <v>343</v>
      </c>
      <c r="AQ48" s="441">
        <v>495</v>
      </c>
      <c r="AR48" s="441">
        <v>205</v>
      </c>
      <c r="AS48" s="441">
        <v>0</v>
      </c>
      <c r="AT48" s="619">
        <f t="shared" si="64"/>
        <v>1043</v>
      </c>
      <c r="AU48" s="480">
        <v>1060</v>
      </c>
      <c r="AV48" s="441">
        <v>5</v>
      </c>
      <c r="AW48" s="441">
        <v>8</v>
      </c>
      <c r="AX48" s="441">
        <v>0</v>
      </c>
      <c r="AY48" s="619">
        <f t="shared" si="65"/>
        <v>1073</v>
      </c>
      <c r="AZ48" s="480">
        <v>4</v>
      </c>
      <c r="BA48" s="441">
        <v>158</v>
      </c>
      <c r="BB48" s="441">
        <v>787</v>
      </c>
      <c r="BC48" s="441">
        <v>13</v>
      </c>
      <c r="BD48" s="619">
        <f t="shared" si="66"/>
        <v>962</v>
      </c>
      <c r="BE48" s="480">
        <v>65</v>
      </c>
      <c r="BF48" s="441">
        <v>51</v>
      </c>
      <c r="BG48" s="441">
        <v>871</v>
      </c>
      <c r="BH48" s="441">
        <v>0</v>
      </c>
      <c r="BI48" s="619">
        <f t="shared" si="67"/>
        <v>987</v>
      </c>
      <c r="BJ48" s="480">
        <v>8</v>
      </c>
      <c r="BK48" s="441">
        <v>616</v>
      </c>
      <c r="BL48" s="441">
        <v>147</v>
      </c>
      <c r="BM48" s="441">
        <v>0</v>
      </c>
      <c r="BN48" s="619">
        <f t="shared" si="68"/>
        <v>771</v>
      </c>
      <c r="BO48" s="480">
        <v>439</v>
      </c>
      <c r="BP48" s="441">
        <v>9</v>
      </c>
      <c r="BQ48" s="441">
        <v>440</v>
      </c>
      <c r="BR48" s="441">
        <v>1</v>
      </c>
      <c r="BS48" s="619">
        <f t="shared" si="69"/>
        <v>889</v>
      </c>
      <c r="BT48" s="480">
        <v>404</v>
      </c>
      <c r="BU48" s="441">
        <v>62</v>
      </c>
      <c r="BV48" s="441">
        <v>394</v>
      </c>
      <c r="BW48" s="441">
        <v>0</v>
      </c>
      <c r="BX48" s="619">
        <f t="shared" si="70"/>
        <v>860</v>
      </c>
      <c r="BY48" s="480">
        <v>150</v>
      </c>
      <c r="BZ48" s="441">
        <v>65</v>
      </c>
      <c r="CA48" s="441">
        <v>712</v>
      </c>
      <c r="CB48" s="441">
        <v>0</v>
      </c>
      <c r="CC48" s="601">
        <f t="shared" si="71"/>
        <v>927</v>
      </c>
    </row>
    <row r="49" spans="1:81" ht="20.100000000000001" customHeight="1" thickBot="1" x14ac:dyDescent="0.25">
      <c r="A49" s="353">
        <v>44135</v>
      </c>
      <c r="B49" s="484">
        <f t="shared" si="0"/>
        <v>13879</v>
      </c>
      <c r="C49" s="501">
        <f t="shared" ref="C49" si="72">G49+L49+Q49+V49+AA49+AF49+AK49+AP49+AU49+AZ49+BE49+BJ49+BO49+BT49+BY49</f>
        <v>4253</v>
      </c>
      <c r="D49" s="498">
        <f t="shared" ref="D49" si="73">H49+M49+R49+W49+AB49+AG49+AL49+AQ49+AV49+BA49+BF49+BK49+BP49+BU49+BZ49</f>
        <v>2949</v>
      </c>
      <c r="E49" s="498">
        <f t="shared" ref="E49" si="74">I49+N49+S49+X49+AC49+AH49+AM49+AR49+AW49+BB49+BG49+BL49+BQ49+BV49+CA49</f>
        <v>6383</v>
      </c>
      <c r="F49" s="498">
        <f>J49+O49+T49+Y49+AD49+AI49+AN49+AS49+AX49+BC49+BH49+BM49+BR49+BW49+CB49</f>
        <v>294</v>
      </c>
      <c r="G49" s="486">
        <v>102</v>
      </c>
      <c r="H49" s="485">
        <v>315</v>
      </c>
      <c r="I49" s="485">
        <v>1121</v>
      </c>
      <c r="J49" s="485">
        <v>4</v>
      </c>
      <c r="K49" s="612">
        <f t="shared" si="58"/>
        <v>1542</v>
      </c>
      <c r="L49" s="486">
        <v>13</v>
      </c>
      <c r="M49" s="485">
        <v>389</v>
      </c>
      <c r="N49" s="485">
        <v>610</v>
      </c>
      <c r="O49" s="485">
        <v>1</v>
      </c>
      <c r="P49" s="620">
        <f t="shared" si="59"/>
        <v>1013</v>
      </c>
      <c r="Q49" s="486">
        <v>767</v>
      </c>
      <c r="R49" s="485">
        <v>3</v>
      </c>
      <c r="S49" s="485">
        <v>41</v>
      </c>
      <c r="T49" s="485">
        <v>0</v>
      </c>
      <c r="U49" s="620">
        <f t="shared" si="60"/>
        <v>811</v>
      </c>
      <c r="V49" s="486">
        <v>14</v>
      </c>
      <c r="W49" s="485">
        <v>749</v>
      </c>
      <c r="X49" s="485">
        <v>78</v>
      </c>
      <c r="Y49" s="485">
        <v>2</v>
      </c>
      <c r="Z49" s="620">
        <f>SUM(V49:Y49)</f>
        <v>843</v>
      </c>
      <c r="AA49" s="486">
        <v>10</v>
      </c>
      <c r="AB49" s="485">
        <v>146</v>
      </c>
      <c r="AC49" s="485">
        <v>428</v>
      </c>
      <c r="AD49" s="485">
        <v>264</v>
      </c>
      <c r="AE49" s="620">
        <f t="shared" si="61"/>
        <v>848</v>
      </c>
      <c r="AF49" s="486">
        <v>353</v>
      </c>
      <c r="AG49" s="485">
        <v>145</v>
      </c>
      <c r="AH49" s="485">
        <v>374</v>
      </c>
      <c r="AI49" s="485">
        <v>0</v>
      </c>
      <c r="AJ49" s="620">
        <f t="shared" si="62"/>
        <v>872</v>
      </c>
      <c r="AK49" s="486">
        <v>447</v>
      </c>
      <c r="AL49" s="485">
        <v>4</v>
      </c>
      <c r="AM49" s="485">
        <v>413</v>
      </c>
      <c r="AN49" s="485">
        <v>0</v>
      </c>
      <c r="AO49" s="620">
        <f t="shared" si="63"/>
        <v>864</v>
      </c>
      <c r="AP49" s="486">
        <v>336</v>
      </c>
      <c r="AQ49" s="485">
        <v>398</v>
      </c>
      <c r="AR49" s="485">
        <v>162</v>
      </c>
      <c r="AS49" s="485">
        <v>2</v>
      </c>
      <c r="AT49" s="620">
        <f t="shared" si="64"/>
        <v>898</v>
      </c>
      <c r="AU49" s="486">
        <v>1084</v>
      </c>
      <c r="AV49" s="485">
        <v>1</v>
      </c>
      <c r="AW49" s="485">
        <v>13</v>
      </c>
      <c r="AX49" s="485">
        <v>0</v>
      </c>
      <c r="AY49" s="620">
        <f t="shared" si="65"/>
        <v>1098</v>
      </c>
      <c r="AZ49" s="486">
        <v>4</v>
      </c>
      <c r="BA49" s="485">
        <v>105</v>
      </c>
      <c r="BB49" s="485">
        <v>777</v>
      </c>
      <c r="BC49" s="485">
        <v>14</v>
      </c>
      <c r="BD49" s="620">
        <f t="shared" si="66"/>
        <v>900</v>
      </c>
      <c r="BE49" s="486">
        <v>72</v>
      </c>
      <c r="BF49" s="485">
        <v>41</v>
      </c>
      <c r="BG49" s="485">
        <v>726</v>
      </c>
      <c r="BH49" s="485">
        <v>1</v>
      </c>
      <c r="BI49" s="620">
        <f t="shared" si="67"/>
        <v>840</v>
      </c>
      <c r="BJ49" s="486">
        <v>4</v>
      </c>
      <c r="BK49" s="485">
        <v>558</v>
      </c>
      <c r="BL49" s="485">
        <v>138</v>
      </c>
      <c r="BM49" s="485">
        <v>2</v>
      </c>
      <c r="BN49" s="620">
        <f t="shared" si="68"/>
        <v>702</v>
      </c>
      <c r="BO49" s="486">
        <v>468</v>
      </c>
      <c r="BP49" s="485">
        <v>12</v>
      </c>
      <c r="BQ49" s="485">
        <v>402</v>
      </c>
      <c r="BR49" s="485">
        <v>0</v>
      </c>
      <c r="BS49" s="620">
        <f t="shared" si="69"/>
        <v>882</v>
      </c>
      <c r="BT49" s="486">
        <v>396</v>
      </c>
      <c r="BU49" s="485">
        <v>44</v>
      </c>
      <c r="BV49" s="485">
        <v>421</v>
      </c>
      <c r="BW49" s="485">
        <v>3</v>
      </c>
      <c r="BX49" s="620">
        <f t="shared" si="70"/>
        <v>864</v>
      </c>
      <c r="BY49" s="486">
        <v>183</v>
      </c>
      <c r="BZ49" s="485">
        <v>39</v>
      </c>
      <c r="CA49" s="485">
        <v>679</v>
      </c>
      <c r="CB49" s="485">
        <v>1</v>
      </c>
      <c r="CC49" s="612">
        <f t="shared" si="71"/>
        <v>902</v>
      </c>
    </row>
    <row r="50" spans="1:81" s="85" customFormat="1" ht="20.100000000000001" customHeight="1" x14ac:dyDescent="0.25">
      <c r="A50" s="133"/>
      <c r="B50" s="470">
        <f>SUM(B6:B49)</f>
        <v>193596</v>
      </c>
      <c r="C50" s="134">
        <f>SUM(C6:C49)</f>
        <v>56362</v>
      </c>
      <c r="D50" s="135">
        <f>SUM(D6:D49)</f>
        <v>41940</v>
      </c>
      <c r="E50" s="135">
        <f>SUM(E6:E49)</f>
        <v>91803</v>
      </c>
      <c r="F50" s="135">
        <f>SUM(F6:F49)</f>
        <v>3491</v>
      </c>
      <c r="G50" s="138">
        <f t="shared" ref="G50:AD50" si="75">SUM(G6:G49)</f>
        <v>7356</v>
      </c>
      <c r="H50" s="135">
        <f t="shared" si="75"/>
        <v>12725</v>
      </c>
      <c r="I50" s="135">
        <f t="shared" si="75"/>
        <v>30284</v>
      </c>
      <c r="J50" s="135">
        <f>SUM(J6:J49)</f>
        <v>279</v>
      </c>
      <c r="K50" s="582">
        <f t="shared" si="75"/>
        <v>50644</v>
      </c>
      <c r="L50" s="138">
        <f t="shared" si="75"/>
        <v>104</v>
      </c>
      <c r="M50" s="135">
        <f t="shared" si="75"/>
        <v>4588</v>
      </c>
      <c r="N50" s="135">
        <f t="shared" si="75"/>
        <v>6158</v>
      </c>
      <c r="O50" s="135">
        <f t="shared" si="75"/>
        <v>8</v>
      </c>
      <c r="P50" s="582">
        <f t="shared" si="59"/>
        <v>10858</v>
      </c>
      <c r="Q50" s="138">
        <f t="shared" si="75"/>
        <v>9684</v>
      </c>
      <c r="R50" s="135">
        <f t="shared" si="75"/>
        <v>60</v>
      </c>
      <c r="S50" s="135">
        <f t="shared" si="75"/>
        <v>417</v>
      </c>
      <c r="T50" s="135">
        <f t="shared" si="75"/>
        <v>0</v>
      </c>
      <c r="U50" s="582">
        <f t="shared" si="60"/>
        <v>10161</v>
      </c>
      <c r="V50" s="138">
        <f t="shared" si="75"/>
        <v>33</v>
      </c>
      <c r="W50" s="135">
        <f t="shared" si="75"/>
        <v>2103</v>
      </c>
      <c r="X50" s="135">
        <f t="shared" si="75"/>
        <v>179</v>
      </c>
      <c r="Y50" s="135">
        <f t="shared" si="75"/>
        <v>2</v>
      </c>
      <c r="Z50" s="582">
        <f>SUM(V50:Y50)</f>
        <v>2317</v>
      </c>
      <c r="AA50" s="138">
        <f t="shared" si="75"/>
        <v>75</v>
      </c>
      <c r="AB50" s="135">
        <f t="shared" si="75"/>
        <v>2630</v>
      </c>
      <c r="AC50" s="135">
        <f t="shared" si="75"/>
        <v>4375</v>
      </c>
      <c r="AD50" s="135">
        <f t="shared" si="75"/>
        <v>3024</v>
      </c>
      <c r="AE50" s="582">
        <f t="shared" si="61"/>
        <v>10104</v>
      </c>
      <c r="AF50" s="138">
        <f>SUM(AF6:AF49)</f>
        <v>3218</v>
      </c>
      <c r="AG50" s="135">
        <f>SUM(AG6:AG49)</f>
        <v>2147</v>
      </c>
      <c r="AH50" s="135">
        <f>SUM(AH6:AH49)</f>
        <v>3842</v>
      </c>
      <c r="AI50" s="135">
        <f>SUM(AI6:AI49)</f>
        <v>0</v>
      </c>
      <c r="AJ50" s="582">
        <f t="shared" si="62"/>
        <v>9207</v>
      </c>
      <c r="AK50" s="138">
        <f>SUM(AK6:AK49)</f>
        <v>5636</v>
      </c>
      <c r="AL50" s="135">
        <f>SUM(AL6:AL49)</f>
        <v>58</v>
      </c>
      <c r="AM50" s="135">
        <f t="shared" ref="AM50:AN50" si="76">SUM(AM6:AM49)</f>
        <v>5038</v>
      </c>
      <c r="AN50" s="135">
        <f t="shared" si="76"/>
        <v>0</v>
      </c>
      <c r="AO50" s="582">
        <f t="shared" si="63"/>
        <v>10732</v>
      </c>
      <c r="AP50" s="138">
        <f>SUM(AP6:AP49)</f>
        <v>4902</v>
      </c>
      <c r="AQ50" s="135">
        <f>SUM(AQ6:AQ49)</f>
        <v>6493</v>
      </c>
      <c r="AR50" s="135">
        <f t="shared" ref="AR50:AS50" si="77">SUM(AR6:AR49)</f>
        <v>2102</v>
      </c>
      <c r="AS50" s="135">
        <f t="shared" si="77"/>
        <v>7</v>
      </c>
      <c r="AT50" s="582">
        <f t="shared" si="64"/>
        <v>13504</v>
      </c>
      <c r="AU50" s="138">
        <f t="shared" ref="AU50:AX50" si="78">SUM(AU6:AU49)</f>
        <v>13046</v>
      </c>
      <c r="AV50" s="135">
        <f t="shared" si="78"/>
        <v>13</v>
      </c>
      <c r="AW50" s="135">
        <f t="shared" si="78"/>
        <v>73</v>
      </c>
      <c r="AX50" s="135">
        <f t="shared" si="78"/>
        <v>0</v>
      </c>
      <c r="AY50" s="582">
        <f t="shared" si="65"/>
        <v>13132</v>
      </c>
      <c r="AZ50" s="138">
        <f t="shared" ref="AZ50" si="79">SUM(AZ6:AZ49)</f>
        <v>40</v>
      </c>
      <c r="BA50" s="135">
        <f t="shared" ref="BA50:BC50" si="80">SUM(BA6:BA49)</f>
        <v>2025</v>
      </c>
      <c r="BB50" s="135">
        <f t="shared" si="80"/>
        <v>9429</v>
      </c>
      <c r="BC50" s="135">
        <f t="shared" si="80"/>
        <v>144</v>
      </c>
      <c r="BD50" s="582">
        <f>SUM(AZ50:BC50)</f>
        <v>11638</v>
      </c>
      <c r="BE50" s="138">
        <f t="shared" ref="BE50" si="81">SUM(BE6:BE49)</f>
        <v>616</v>
      </c>
      <c r="BF50" s="135">
        <f t="shared" ref="BF50:BH50" si="82">SUM(BF6:BF49)</f>
        <v>450</v>
      </c>
      <c r="BG50" s="135">
        <f t="shared" si="82"/>
        <v>10774</v>
      </c>
      <c r="BH50" s="135">
        <f t="shared" si="82"/>
        <v>3</v>
      </c>
      <c r="BI50" s="582">
        <f t="shared" si="67"/>
        <v>11843</v>
      </c>
      <c r="BJ50" s="138">
        <f t="shared" ref="BJ50" si="83">SUM(BJ6:BJ49)</f>
        <v>64</v>
      </c>
      <c r="BK50" s="135">
        <f t="shared" ref="BK50:BM50" si="84">SUM(BK6:BK49)</f>
        <v>7021</v>
      </c>
      <c r="BL50" s="135">
        <f t="shared" si="84"/>
        <v>1371</v>
      </c>
      <c r="BM50" s="135">
        <f t="shared" si="84"/>
        <v>11</v>
      </c>
      <c r="BN50" s="582">
        <f t="shared" si="68"/>
        <v>8467</v>
      </c>
      <c r="BO50" s="138">
        <f t="shared" ref="BO50" si="85">SUM(BO6:BO49)</f>
        <v>4784</v>
      </c>
      <c r="BP50" s="135">
        <f t="shared" ref="BP50:BR50" si="86">SUM(BP6:BP49)</f>
        <v>133</v>
      </c>
      <c r="BQ50" s="135">
        <f t="shared" si="86"/>
        <v>4616</v>
      </c>
      <c r="BR50" s="135">
        <f t="shared" si="86"/>
        <v>3</v>
      </c>
      <c r="BS50" s="582">
        <f t="shared" si="69"/>
        <v>9536</v>
      </c>
      <c r="BT50" s="138">
        <f t="shared" ref="BT50" si="87">SUM(BT6:BT49)</f>
        <v>5231</v>
      </c>
      <c r="BU50" s="135">
        <f t="shared" ref="BU50:BW50" si="88">SUM(BU6:BU49)</f>
        <v>654</v>
      </c>
      <c r="BV50" s="135">
        <f t="shared" si="88"/>
        <v>4425</v>
      </c>
      <c r="BW50" s="135">
        <f t="shared" si="88"/>
        <v>8</v>
      </c>
      <c r="BX50" s="582">
        <f t="shared" si="70"/>
        <v>10318</v>
      </c>
      <c r="BY50" s="138">
        <f t="shared" ref="BY50:CB50" si="89">SUM(BY6:BY49)</f>
        <v>1573</v>
      </c>
      <c r="BZ50" s="135">
        <f t="shared" si="89"/>
        <v>840</v>
      </c>
      <c r="CA50" s="135">
        <f t="shared" si="89"/>
        <v>8720</v>
      </c>
      <c r="CB50" s="135">
        <f t="shared" si="89"/>
        <v>2</v>
      </c>
      <c r="CC50" s="582">
        <f t="shared" si="71"/>
        <v>11135</v>
      </c>
    </row>
    <row r="51" spans="1:81" s="87" customFormat="1" ht="17.25" customHeight="1" x14ac:dyDescent="0.25">
      <c r="A51" s="835"/>
      <c r="B51" s="835"/>
      <c r="C51" s="835"/>
      <c r="D51" s="835"/>
      <c r="E51" s="835"/>
      <c r="F51" s="835"/>
      <c r="K51" s="86"/>
    </row>
    <row r="52" spans="1:81" s="90" customFormat="1" ht="33.75" customHeight="1" x14ac:dyDescent="0.25">
      <c r="A52" s="834"/>
      <c r="B52" s="834"/>
      <c r="C52" s="834"/>
      <c r="D52" s="834"/>
      <c r="E52" s="834"/>
      <c r="F52" s="834"/>
      <c r="G52" s="834"/>
      <c r="H52" s="834"/>
      <c r="I52" s="834"/>
      <c r="J52" s="834"/>
      <c r="K52" s="834"/>
      <c r="P52" s="621"/>
      <c r="T52" s="108"/>
      <c r="U52" s="621"/>
      <c r="Z52" s="621"/>
      <c r="AE52" s="621"/>
      <c r="AJ52" s="621"/>
      <c r="AO52" s="621"/>
      <c r="AT52" s="621"/>
      <c r="AY52" s="621"/>
      <c r="BD52" s="621"/>
      <c r="BI52" s="621"/>
      <c r="BN52" s="621"/>
      <c r="BS52" s="621"/>
      <c r="BX52" s="621"/>
      <c r="CC52" s="621"/>
    </row>
    <row r="53" spans="1:81" s="92" customFormat="1" x14ac:dyDescent="0.25">
      <c r="A53" s="91"/>
      <c r="B53" s="381"/>
      <c r="C53" s="91"/>
      <c r="D53" s="91"/>
      <c r="E53" s="91"/>
      <c r="F53" s="91"/>
      <c r="K53" s="555"/>
      <c r="P53" s="622"/>
      <c r="T53" s="581"/>
      <c r="U53" s="622"/>
      <c r="Z53" s="622"/>
      <c r="AE53" s="622"/>
      <c r="AJ53" s="622"/>
      <c r="AO53" s="622"/>
      <c r="AT53" s="622"/>
      <c r="AY53" s="622"/>
      <c r="BD53" s="622"/>
      <c r="BI53" s="622"/>
      <c r="BN53" s="622"/>
      <c r="BS53" s="622"/>
      <c r="BX53" s="622"/>
      <c r="CC53" s="622"/>
    </row>
  </sheetData>
  <sheetProtection algorithmName="SHA-512" hashValue="llP2lx+lcIyQz12AHwulcrb7L7otLwP2uVK8TYWiCJT8/IqUdVw04mtY4fQZi5kZ+esvljRanQtRpqCbglikvQ==" saltValue="Kt3YVKFmJlcHOLyVwAKm9w==" spinCount="100000" sheet="1" objects="1" scenarios="1"/>
  <mergeCells count="20">
    <mergeCell ref="A1:X1"/>
    <mergeCell ref="A2:AB2"/>
    <mergeCell ref="AF4:AH4"/>
    <mergeCell ref="L4:N4"/>
    <mergeCell ref="Q4:S4"/>
    <mergeCell ref="V4:X4"/>
    <mergeCell ref="AA4:AC4"/>
    <mergeCell ref="G4:J4"/>
    <mergeCell ref="A52:K52"/>
    <mergeCell ref="A51:F51"/>
    <mergeCell ref="C4:F4"/>
    <mergeCell ref="BY4:CB4"/>
    <mergeCell ref="BT4:BW4"/>
    <mergeCell ref="BO4:BR4"/>
    <mergeCell ref="BJ4:BM4"/>
    <mergeCell ref="BE4:BH4"/>
    <mergeCell ref="AZ4:BC4"/>
    <mergeCell ref="AU4:AX4"/>
    <mergeCell ref="AP4:AS4"/>
    <mergeCell ref="AK4:AN4"/>
  </mergeCells>
  <pageMargins left="0.7" right="0.7" top="0.75" bottom="0.75" header="0.3" footer="0.3"/>
  <pageSetup paperSize="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1674-C264-41E7-BE18-63AC02ADA4CE}">
  <dimension ref="A1:N23"/>
  <sheetViews>
    <sheetView zoomScale="115" zoomScaleNormal="115" workbookViewId="0">
      <selection activeCell="D23" sqref="D23"/>
    </sheetView>
  </sheetViews>
  <sheetFormatPr defaultRowHeight="14.25" x14ac:dyDescent="0.2"/>
  <cols>
    <col min="1" max="1" width="9.25" customWidth="1"/>
    <col min="2" max="2" width="12.25" customWidth="1"/>
    <col min="3" max="3" width="13.5" customWidth="1"/>
    <col min="4" max="4" width="8.25" customWidth="1"/>
    <col min="5" max="5" width="7" customWidth="1"/>
    <col min="6" max="6" width="12.375" customWidth="1"/>
    <col min="7" max="7" width="8.375" style="639" customWidth="1"/>
  </cols>
  <sheetData>
    <row r="1" spans="1:14" ht="30.75" customHeight="1" x14ac:dyDescent="0.2">
      <c r="A1" s="841" t="s">
        <v>103</v>
      </c>
      <c r="B1" s="842"/>
      <c r="C1" s="842"/>
      <c r="D1" s="842"/>
      <c r="E1" s="842"/>
      <c r="F1" s="843"/>
      <c r="G1" s="637"/>
    </row>
    <row r="2" spans="1:14" s="709" customFormat="1" ht="35.25" customHeight="1" x14ac:dyDescent="0.2">
      <c r="A2" s="705"/>
      <c r="B2" s="701" t="s">
        <v>97</v>
      </c>
      <c r="C2" s="702" t="s">
        <v>98</v>
      </c>
      <c r="D2" s="706" t="s">
        <v>99</v>
      </c>
      <c r="E2" s="707">
        <f>D23</f>
        <v>17633</v>
      </c>
      <c r="F2" s="708" t="s">
        <v>100</v>
      </c>
      <c r="G2" s="704">
        <f>E2/Summary!E12</f>
        <v>9.1081427302216994E-2</v>
      </c>
    </row>
    <row r="3" spans="1:14" ht="29.25" x14ac:dyDescent="0.25">
      <c r="A3" s="641" t="s">
        <v>101</v>
      </c>
      <c r="B3" s="634">
        <v>1152</v>
      </c>
      <c r="C3" s="658">
        <v>1988</v>
      </c>
      <c r="D3" s="663">
        <f>SUM(B3:C3)</f>
        <v>3140</v>
      </c>
      <c r="E3" s="635"/>
      <c r="F3" s="716"/>
      <c r="G3" s="717"/>
      <c r="H3" s="718"/>
      <c r="I3" s="718"/>
      <c r="J3" s="718"/>
      <c r="K3" s="718"/>
      <c r="L3" s="718"/>
      <c r="M3" s="718"/>
      <c r="N3" s="718"/>
    </row>
    <row r="4" spans="1:14" x14ac:dyDescent="0.2">
      <c r="A4" s="640">
        <v>44117</v>
      </c>
      <c r="B4" s="631">
        <v>39</v>
      </c>
      <c r="C4" s="659">
        <v>111</v>
      </c>
      <c r="D4" s="663">
        <f t="shared" ref="D4:D22" si="0">SUM(B4:C4)</f>
        <v>150</v>
      </c>
      <c r="E4" s="631"/>
      <c r="F4" s="719"/>
      <c r="G4" s="720"/>
      <c r="H4" s="718"/>
      <c r="I4" s="718"/>
      <c r="J4" s="718"/>
      <c r="K4" s="718"/>
      <c r="L4" s="718"/>
      <c r="M4" s="718"/>
      <c r="N4" s="718"/>
    </row>
    <row r="5" spans="1:14" x14ac:dyDescent="0.2">
      <c r="A5" s="640">
        <v>44118</v>
      </c>
      <c r="B5" s="631">
        <v>223</v>
      </c>
      <c r="C5" s="659">
        <v>821</v>
      </c>
      <c r="D5" s="663">
        <f t="shared" si="0"/>
        <v>1044</v>
      </c>
      <c r="E5" s="631"/>
      <c r="F5" s="719"/>
      <c r="G5" s="720"/>
      <c r="H5" s="718"/>
      <c r="I5" s="718"/>
      <c r="J5" s="718"/>
      <c r="K5" s="718"/>
      <c r="L5" s="718"/>
      <c r="M5" s="718"/>
      <c r="N5" s="718"/>
    </row>
    <row r="6" spans="1:14" x14ac:dyDescent="0.2">
      <c r="A6" s="640">
        <v>44119</v>
      </c>
      <c r="B6" s="631">
        <v>192</v>
      </c>
      <c r="C6" s="659">
        <v>880</v>
      </c>
      <c r="D6" s="663">
        <f t="shared" si="0"/>
        <v>1072</v>
      </c>
      <c r="E6" s="631"/>
      <c r="F6" s="719"/>
      <c r="G6" s="720"/>
      <c r="H6" s="718"/>
      <c r="I6" s="718"/>
      <c r="J6" s="718"/>
      <c r="K6" s="718"/>
      <c r="L6" s="718"/>
      <c r="M6" s="718"/>
      <c r="N6" s="718"/>
    </row>
    <row r="7" spans="1:14" x14ac:dyDescent="0.2">
      <c r="A7" s="640">
        <v>44120</v>
      </c>
      <c r="B7" s="631">
        <v>214</v>
      </c>
      <c r="C7" s="659">
        <v>898</v>
      </c>
      <c r="D7" s="663">
        <f t="shared" si="0"/>
        <v>1112</v>
      </c>
      <c r="E7" s="631"/>
      <c r="F7" s="719"/>
      <c r="G7" s="720"/>
      <c r="H7" s="718"/>
      <c r="I7" s="718"/>
      <c r="J7" s="718"/>
      <c r="K7" s="718"/>
      <c r="L7" s="718"/>
      <c r="M7" s="718"/>
      <c r="N7" s="718"/>
    </row>
    <row r="8" spans="1:14" x14ac:dyDescent="0.2">
      <c r="A8" s="640">
        <v>44121</v>
      </c>
      <c r="B8" s="631">
        <v>267</v>
      </c>
      <c r="C8" s="659">
        <v>937</v>
      </c>
      <c r="D8" s="663">
        <f t="shared" si="0"/>
        <v>1204</v>
      </c>
      <c r="E8" s="631"/>
      <c r="F8" s="719"/>
      <c r="G8" s="720"/>
      <c r="H8" s="718"/>
      <c r="I8" s="718"/>
      <c r="J8" s="718"/>
      <c r="K8" s="718"/>
      <c r="L8" s="718"/>
      <c r="M8" s="718"/>
      <c r="N8" s="718"/>
    </row>
    <row r="9" spans="1:14" x14ac:dyDescent="0.2">
      <c r="A9" s="640">
        <v>44122</v>
      </c>
      <c r="B9" s="632"/>
      <c r="C9" s="660"/>
      <c r="D9" s="663">
        <f t="shared" si="0"/>
        <v>0</v>
      </c>
      <c r="E9" s="631"/>
      <c r="F9" s="719"/>
      <c r="G9" s="720"/>
      <c r="H9" s="718"/>
      <c r="I9" s="718"/>
      <c r="J9" s="718"/>
      <c r="K9" s="718"/>
      <c r="L9" s="718"/>
      <c r="M9" s="718"/>
      <c r="N9" s="718"/>
    </row>
    <row r="10" spans="1:14" x14ac:dyDescent="0.2">
      <c r="A10" s="640">
        <v>44123</v>
      </c>
      <c r="B10" s="631">
        <v>205</v>
      </c>
      <c r="C10" s="659">
        <v>811</v>
      </c>
      <c r="D10" s="663">
        <f t="shared" si="0"/>
        <v>1016</v>
      </c>
      <c r="E10" s="631"/>
      <c r="F10" s="719"/>
      <c r="G10" s="720"/>
      <c r="H10" s="718"/>
      <c r="I10" s="718"/>
      <c r="J10" s="718"/>
      <c r="K10" s="718"/>
      <c r="L10" s="718"/>
      <c r="M10" s="718"/>
      <c r="N10" s="718"/>
    </row>
    <row r="11" spans="1:14" x14ac:dyDescent="0.2">
      <c r="A11" s="640">
        <v>44124</v>
      </c>
      <c r="B11" s="631">
        <v>262</v>
      </c>
      <c r="C11" s="659">
        <v>777</v>
      </c>
      <c r="D11" s="663">
        <f t="shared" si="0"/>
        <v>1039</v>
      </c>
      <c r="E11" s="631"/>
      <c r="F11" s="719"/>
      <c r="G11" s="720"/>
      <c r="H11" s="718"/>
      <c r="I11" s="718"/>
      <c r="J11" s="718"/>
      <c r="K11" s="718"/>
      <c r="L11" s="718"/>
      <c r="M11" s="718"/>
      <c r="N11" s="718"/>
    </row>
    <row r="12" spans="1:14" x14ac:dyDescent="0.2">
      <c r="A12" s="640">
        <v>44125</v>
      </c>
      <c r="B12" s="631">
        <v>240</v>
      </c>
      <c r="C12" s="659">
        <v>707</v>
      </c>
      <c r="D12" s="663">
        <f t="shared" si="0"/>
        <v>947</v>
      </c>
      <c r="E12" s="631"/>
      <c r="F12" s="719"/>
      <c r="G12" s="720"/>
      <c r="H12" s="718"/>
      <c r="I12" s="718"/>
      <c r="J12" s="718"/>
      <c r="K12" s="718"/>
      <c r="L12" s="718"/>
      <c r="M12" s="718"/>
      <c r="N12" s="718"/>
    </row>
    <row r="13" spans="1:14" x14ac:dyDescent="0.2">
      <c r="A13" s="640">
        <v>44126</v>
      </c>
      <c r="B13" s="631">
        <v>222</v>
      </c>
      <c r="C13" s="659">
        <v>674</v>
      </c>
      <c r="D13" s="663">
        <f t="shared" si="0"/>
        <v>896</v>
      </c>
      <c r="E13" s="631"/>
      <c r="F13" s="719"/>
      <c r="G13" s="720"/>
      <c r="H13" s="718"/>
      <c r="I13" s="718"/>
      <c r="J13" s="718"/>
      <c r="K13" s="718"/>
      <c r="L13" s="718"/>
      <c r="M13" s="718"/>
      <c r="N13" s="718"/>
    </row>
    <row r="14" spans="1:14" x14ac:dyDescent="0.2">
      <c r="A14" s="640">
        <v>44127</v>
      </c>
      <c r="B14" s="631">
        <v>228</v>
      </c>
      <c r="C14" s="659">
        <v>591</v>
      </c>
      <c r="D14" s="663">
        <f t="shared" si="0"/>
        <v>819</v>
      </c>
      <c r="E14" s="631"/>
      <c r="F14" s="719"/>
      <c r="G14" s="720"/>
      <c r="H14" s="718"/>
      <c r="I14" s="718"/>
      <c r="J14" s="718"/>
      <c r="K14" s="718"/>
      <c r="L14" s="718"/>
      <c r="M14" s="718"/>
      <c r="N14" s="718"/>
    </row>
    <row r="15" spans="1:14" x14ac:dyDescent="0.2">
      <c r="A15" s="640">
        <v>44128</v>
      </c>
      <c r="B15" s="631">
        <v>287</v>
      </c>
      <c r="C15" s="659">
        <v>598</v>
      </c>
      <c r="D15" s="663">
        <f t="shared" si="0"/>
        <v>885</v>
      </c>
      <c r="E15" s="631"/>
      <c r="F15" s="719"/>
      <c r="G15" s="720"/>
      <c r="H15" s="718"/>
      <c r="I15" s="718"/>
      <c r="J15" s="718"/>
      <c r="K15" s="718"/>
      <c r="L15" s="718"/>
      <c r="M15" s="718"/>
      <c r="N15" s="718"/>
    </row>
    <row r="16" spans="1:14" x14ac:dyDescent="0.2">
      <c r="A16" s="640">
        <v>44129</v>
      </c>
      <c r="B16" s="632"/>
      <c r="C16" s="660"/>
      <c r="D16" s="663">
        <f t="shared" si="0"/>
        <v>0</v>
      </c>
      <c r="E16" s="631"/>
      <c r="F16" s="719"/>
      <c r="G16" s="720"/>
      <c r="H16" s="718"/>
      <c r="I16" s="718"/>
      <c r="J16" s="718"/>
      <c r="K16" s="718"/>
      <c r="L16" s="718"/>
      <c r="M16" s="718"/>
      <c r="N16" s="718"/>
    </row>
    <row r="17" spans="1:14" x14ac:dyDescent="0.2">
      <c r="A17" s="640">
        <v>44130</v>
      </c>
      <c r="B17" s="631">
        <v>234</v>
      </c>
      <c r="C17" s="659">
        <v>507</v>
      </c>
      <c r="D17" s="663">
        <f t="shared" si="0"/>
        <v>741</v>
      </c>
      <c r="E17" s="631"/>
      <c r="F17" s="719"/>
      <c r="G17" s="720"/>
      <c r="H17" s="718"/>
      <c r="I17" s="718"/>
      <c r="J17" s="718"/>
      <c r="K17" s="718"/>
      <c r="L17" s="718"/>
      <c r="M17" s="718"/>
      <c r="N17" s="718"/>
    </row>
    <row r="18" spans="1:14" x14ac:dyDescent="0.2">
      <c r="A18" s="640">
        <v>44131</v>
      </c>
      <c r="B18" s="631">
        <v>255</v>
      </c>
      <c r="C18" s="659">
        <v>464</v>
      </c>
      <c r="D18" s="663">
        <f t="shared" si="0"/>
        <v>719</v>
      </c>
      <c r="E18" s="631"/>
      <c r="F18" s="719"/>
      <c r="G18" s="720"/>
      <c r="H18" s="718"/>
      <c r="I18" s="718"/>
      <c r="J18" s="718"/>
      <c r="K18" s="718"/>
      <c r="L18" s="718"/>
      <c r="M18" s="718"/>
      <c r="N18" s="718"/>
    </row>
    <row r="19" spans="1:14" x14ac:dyDescent="0.2">
      <c r="A19" s="640">
        <v>44132</v>
      </c>
      <c r="B19" s="631">
        <v>257</v>
      </c>
      <c r="C19" s="659">
        <v>463</v>
      </c>
      <c r="D19" s="663">
        <f t="shared" si="0"/>
        <v>720</v>
      </c>
      <c r="E19" s="631"/>
      <c r="F19" s="719"/>
      <c r="G19" s="720"/>
      <c r="H19" s="718"/>
      <c r="I19" s="718"/>
      <c r="J19" s="718"/>
      <c r="K19" s="718"/>
      <c r="L19" s="718"/>
      <c r="M19" s="718"/>
      <c r="N19" s="718"/>
    </row>
    <row r="20" spans="1:14" x14ac:dyDescent="0.2">
      <c r="A20" s="640">
        <v>44133</v>
      </c>
      <c r="B20" s="631">
        <v>266</v>
      </c>
      <c r="C20" s="659">
        <v>449</v>
      </c>
      <c r="D20" s="663">
        <f t="shared" si="0"/>
        <v>715</v>
      </c>
      <c r="E20" s="631"/>
      <c r="F20" s="719"/>
      <c r="G20" s="720"/>
      <c r="H20" s="718"/>
      <c r="I20" s="718"/>
      <c r="J20" s="718"/>
      <c r="K20" s="718"/>
      <c r="L20" s="718"/>
      <c r="M20" s="718"/>
      <c r="N20" s="718"/>
    </row>
    <row r="21" spans="1:14" x14ac:dyDescent="0.2">
      <c r="A21" s="640">
        <v>44134</v>
      </c>
      <c r="B21" s="631">
        <v>344</v>
      </c>
      <c r="C21" s="659">
        <v>367</v>
      </c>
      <c r="D21" s="663">
        <f t="shared" si="0"/>
        <v>711</v>
      </c>
      <c r="E21" s="631"/>
      <c r="F21" s="719"/>
      <c r="G21" s="720"/>
      <c r="H21" s="718"/>
      <c r="I21" s="718"/>
      <c r="J21" s="718"/>
      <c r="K21" s="718"/>
      <c r="L21" s="718"/>
      <c r="M21" s="718"/>
      <c r="N21" s="718"/>
    </row>
    <row r="22" spans="1:14" x14ac:dyDescent="0.2">
      <c r="A22" s="642">
        <v>44135</v>
      </c>
      <c r="B22" s="636">
        <v>347</v>
      </c>
      <c r="C22" s="661">
        <v>356</v>
      </c>
      <c r="D22" s="703">
        <f t="shared" si="0"/>
        <v>703</v>
      </c>
      <c r="E22" s="636"/>
      <c r="F22" s="721"/>
      <c r="G22" s="722"/>
      <c r="H22" s="718"/>
      <c r="I22" s="718"/>
      <c r="J22" s="718"/>
      <c r="K22" s="718"/>
      <c r="L22" s="718"/>
      <c r="M22" s="718"/>
      <c r="N22" s="718"/>
    </row>
    <row r="23" spans="1:14" ht="15" x14ac:dyDescent="0.25">
      <c r="A23" s="635" t="s">
        <v>5</v>
      </c>
      <c r="B23" s="635">
        <f>SUM(B3:B22)</f>
        <v>5234</v>
      </c>
      <c r="C23" s="662">
        <f>SUM(C3:C22)</f>
        <v>12399</v>
      </c>
      <c r="D23" s="664">
        <f>SUM(B23:C23)</f>
        <v>17633</v>
      </c>
      <c r="E23" s="633"/>
      <c r="F23" s="633"/>
      <c r="G23" s="638"/>
    </row>
  </sheetData>
  <sheetProtection algorithmName="SHA-512" hashValue="2qGEAf1umTh5/gNiNQX2mL5Tngl7qqbFCKrhrZ5rxIccQdhxo2fYZn5KTHuYDEDTFBSLWkl3N7zzjxkTay/w7g==" saltValue="AlQnWHl8dfDQEbUfTAPE3A==" spinCount="100000" sheet="1" objects="1" scenarios="1"/>
  <mergeCells count="1">
    <mergeCell ref="A1:F1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151C-B51D-4E27-897C-1B1D9E8D7D13}">
  <dimension ref="A1:AE48"/>
  <sheetViews>
    <sheetView zoomScale="85" zoomScaleNormal="85" workbookViewId="0">
      <pane ySplit="2" topLeftCell="A12" activePane="bottomLeft" state="frozen"/>
      <selection pane="bottomLeft" activeCell="D47" sqref="D47"/>
    </sheetView>
  </sheetViews>
  <sheetFormatPr defaultRowHeight="14.25" x14ac:dyDescent="0.2"/>
  <cols>
    <col min="2" max="2" width="11.875" customWidth="1"/>
    <col min="3" max="3" width="4.125" customWidth="1"/>
    <col min="6" max="6" width="10.625" customWidth="1"/>
    <col min="31" max="31" width="12.5" bestFit="1" customWidth="1"/>
  </cols>
  <sheetData>
    <row r="1" spans="1:31" ht="15" x14ac:dyDescent="0.25">
      <c r="A1" s="844" t="s">
        <v>84</v>
      </c>
      <c r="B1" s="845"/>
    </row>
    <row r="2" spans="1:31" ht="39.75" customHeight="1" x14ac:dyDescent="0.25">
      <c r="A2" s="538" t="s">
        <v>86</v>
      </c>
      <c r="B2" s="538" t="s">
        <v>87</v>
      </c>
      <c r="C2" s="624"/>
      <c r="D2" s="538" t="s">
        <v>85</v>
      </c>
      <c r="E2" s="623" t="s">
        <v>75</v>
      </c>
      <c r="F2" s="538" t="s">
        <v>88</v>
      </c>
    </row>
    <row r="3" spans="1:31" ht="39.75" customHeight="1" x14ac:dyDescent="0.25">
      <c r="A3" s="656"/>
      <c r="B3" s="656"/>
      <c r="C3" s="657"/>
      <c r="D3" s="656"/>
      <c r="F3" s="656"/>
    </row>
    <row r="4" spans="1:31" x14ac:dyDescent="0.2">
      <c r="D4">
        <v>31</v>
      </c>
      <c r="E4" s="669">
        <f>'Return by Dropbox'!B9</f>
        <v>137</v>
      </c>
      <c r="F4">
        <f>D4+E4</f>
        <v>168</v>
      </c>
    </row>
    <row r="5" spans="1:31" x14ac:dyDescent="0.2">
      <c r="D5">
        <v>446</v>
      </c>
      <c r="E5" s="669">
        <f>'Return by Dropbox'!B10</f>
        <v>457</v>
      </c>
      <c r="F5" s="537">
        <f>D5+E5+F4</f>
        <v>1071</v>
      </c>
    </row>
    <row r="6" spans="1:31" ht="42.75" x14ac:dyDescent="0.2">
      <c r="A6">
        <v>63726</v>
      </c>
      <c r="B6" s="537">
        <f>A6</f>
        <v>63726</v>
      </c>
      <c r="D6">
        <v>284</v>
      </c>
      <c r="E6" s="669">
        <f>'Return by Dropbox'!B11</f>
        <v>561</v>
      </c>
      <c r="F6" s="537">
        <f t="shared" ref="F6:F47" si="0">D6+E6+F5</f>
        <v>1916</v>
      </c>
      <c r="AC6" s="713" t="s">
        <v>104</v>
      </c>
      <c r="AD6" s="713" t="s">
        <v>105</v>
      </c>
      <c r="AE6" s="713" t="s">
        <v>106</v>
      </c>
    </row>
    <row r="7" spans="1:31" x14ac:dyDescent="0.2">
      <c r="A7">
        <v>89701</v>
      </c>
      <c r="B7" s="537">
        <f>B6+A7</f>
        <v>153427</v>
      </c>
      <c r="D7">
        <v>1240</v>
      </c>
      <c r="E7" s="669">
        <f>'Return by Dropbox'!B12</f>
        <v>852</v>
      </c>
      <c r="F7" s="537">
        <f t="shared" si="0"/>
        <v>4008</v>
      </c>
    </row>
    <row r="8" spans="1:31" x14ac:dyDescent="0.2">
      <c r="A8">
        <v>4137</v>
      </c>
      <c r="B8" s="537">
        <f t="shared" ref="B8:B18" si="1">B7+A8</f>
        <v>157564</v>
      </c>
      <c r="D8">
        <v>4225</v>
      </c>
      <c r="E8" s="669">
        <f>'Return by Dropbox'!B13</f>
        <v>1289</v>
      </c>
      <c r="F8" s="537">
        <f t="shared" si="0"/>
        <v>9522</v>
      </c>
    </row>
    <row r="9" spans="1:31" x14ac:dyDescent="0.2">
      <c r="A9">
        <v>5362</v>
      </c>
      <c r="B9" s="537">
        <f t="shared" si="1"/>
        <v>162926</v>
      </c>
      <c r="D9">
        <v>3960</v>
      </c>
      <c r="E9" s="669">
        <f>'Return by Dropbox'!B14</f>
        <v>302</v>
      </c>
      <c r="F9" s="537">
        <f t="shared" si="0"/>
        <v>13784</v>
      </c>
    </row>
    <row r="10" spans="1:31" x14ac:dyDescent="0.2">
      <c r="A10">
        <v>5293</v>
      </c>
      <c r="B10" s="537">
        <f t="shared" si="1"/>
        <v>168219</v>
      </c>
      <c r="D10">
        <v>5068</v>
      </c>
      <c r="E10" s="669">
        <f>'Return by Dropbox'!B15</f>
        <v>57</v>
      </c>
      <c r="F10" s="537">
        <f t="shared" si="0"/>
        <v>18909</v>
      </c>
      <c r="AC10">
        <v>3</v>
      </c>
      <c r="AD10">
        <f>AC10</f>
        <v>3</v>
      </c>
      <c r="AE10" s="714">
        <f>AD10/AD46</f>
        <v>6.7368799263434458E-5</v>
      </c>
    </row>
    <row r="11" spans="1:31" x14ac:dyDescent="0.2">
      <c r="A11">
        <v>2913</v>
      </c>
      <c r="B11" s="537">
        <f t="shared" si="1"/>
        <v>171132</v>
      </c>
      <c r="D11">
        <v>8268</v>
      </c>
      <c r="E11" s="669">
        <f>'Return by Dropbox'!B16</f>
        <v>1380</v>
      </c>
      <c r="F11" s="537">
        <f t="shared" si="0"/>
        <v>28557</v>
      </c>
      <c r="AC11">
        <v>0</v>
      </c>
      <c r="AD11">
        <f>AC11+AD10</f>
        <v>3</v>
      </c>
      <c r="AE11" s="714">
        <f t="shared" ref="AE11:AE46" si="2">AD11/$AD$46</f>
        <v>6.7368799263434458E-5</v>
      </c>
    </row>
    <row r="12" spans="1:31" x14ac:dyDescent="0.2">
      <c r="A12">
        <v>6152</v>
      </c>
      <c r="B12" s="537">
        <f t="shared" si="1"/>
        <v>177284</v>
      </c>
      <c r="D12">
        <v>775</v>
      </c>
      <c r="E12" s="669">
        <f>'Return by Dropbox'!B17</f>
        <v>1097</v>
      </c>
      <c r="F12" s="537">
        <f t="shared" si="0"/>
        <v>30429</v>
      </c>
      <c r="AC12">
        <v>37</v>
      </c>
      <c r="AD12">
        <f>AC12+AD11</f>
        <v>40</v>
      </c>
      <c r="AE12" s="714">
        <f t="shared" si="2"/>
        <v>8.9825065684579278E-4</v>
      </c>
    </row>
    <row r="13" spans="1:31" x14ac:dyDescent="0.2">
      <c r="A13">
        <v>8216</v>
      </c>
      <c r="B13" s="537">
        <f t="shared" si="1"/>
        <v>185500</v>
      </c>
      <c r="D13">
        <v>7386</v>
      </c>
      <c r="E13" s="669">
        <f>'Return by Dropbox'!B18</f>
        <v>1177</v>
      </c>
      <c r="F13" s="537">
        <f t="shared" si="0"/>
        <v>38992</v>
      </c>
      <c r="AC13">
        <v>441</v>
      </c>
      <c r="AD13">
        <f t="shared" ref="AD13:AD46" si="3">AC13+AD12</f>
        <v>481</v>
      </c>
      <c r="AE13" s="714">
        <f t="shared" si="2"/>
        <v>1.0801464148570659E-2</v>
      </c>
    </row>
    <row r="14" spans="1:31" x14ac:dyDescent="0.2">
      <c r="A14">
        <v>8654</v>
      </c>
      <c r="B14" s="537">
        <f t="shared" si="1"/>
        <v>194154</v>
      </c>
      <c r="D14">
        <v>4007</v>
      </c>
      <c r="E14" s="669">
        <f>'Return by Dropbox'!B19</f>
        <v>1072</v>
      </c>
      <c r="F14" s="537">
        <f t="shared" si="0"/>
        <v>44071</v>
      </c>
      <c r="AC14">
        <v>459</v>
      </c>
      <c r="AD14">
        <f t="shared" si="3"/>
        <v>940</v>
      </c>
      <c r="AE14" s="714">
        <f t="shared" si="2"/>
        <v>2.1108890435876132E-2</v>
      </c>
    </row>
    <row r="15" spans="1:31" x14ac:dyDescent="0.2">
      <c r="A15" s="537">
        <f>Mailout!E19</f>
        <v>4871</v>
      </c>
      <c r="B15" s="537">
        <f t="shared" si="1"/>
        <v>199025</v>
      </c>
      <c r="D15">
        <f>'Return by Mail'!F21</f>
        <v>3869</v>
      </c>
      <c r="E15" s="669">
        <f>'Return by Dropbox'!B20</f>
        <v>1406</v>
      </c>
      <c r="F15" s="537">
        <f t="shared" si="0"/>
        <v>49346</v>
      </c>
      <c r="AC15">
        <v>10</v>
      </c>
      <c r="AD15">
        <f t="shared" si="3"/>
        <v>950</v>
      </c>
      <c r="AE15" s="714">
        <f t="shared" si="2"/>
        <v>2.1333453100087579E-2</v>
      </c>
    </row>
    <row r="16" spans="1:31" x14ac:dyDescent="0.2">
      <c r="A16" s="537">
        <f>Mailout!E20</f>
        <v>4000</v>
      </c>
      <c r="B16" s="537">
        <f t="shared" si="1"/>
        <v>203025</v>
      </c>
      <c r="D16">
        <f>'Return by Mail'!F22</f>
        <v>3728</v>
      </c>
      <c r="E16" s="669">
        <f>'Return by Dropbox'!B21</f>
        <v>380</v>
      </c>
      <c r="F16" s="537">
        <f t="shared" si="0"/>
        <v>53454</v>
      </c>
      <c r="AC16">
        <v>632</v>
      </c>
      <c r="AD16">
        <f t="shared" si="3"/>
        <v>1582</v>
      </c>
      <c r="AE16" s="714">
        <f t="shared" si="2"/>
        <v>3.5525813478251109E-2</v>
      </c>
    </row>
    <row r="17" spans="1:31" x14ac:dyDescent="0.2">
      <c r="A17" s="537">
        <f>Mailout!E21</f>
        <v>4821</v>
      </c>
      <c r="B17" s="537">
        <f t="shared" si="1"/>
        <v>207846</v>
      </c>
      <c r="D17">
        <f>'Return by Mail'!F23</f>
        <v>0</v>
      </c>
      <c r="E17" s="669">
        <f>'Return by Dropbox'!B22</f>
        <v>388</v>
      </c>
      <c r="F17" s="537">
        <f t="shared" si="0"/>
        <v>53842</v>
      </c>
      <c r="AC17">
        <v>744</v>
      </c>
      <c r="AD17">
        <f t="shared" si="3"/>
        <v>2326</v>
      </c>
      <c r="AE17" s="714">
        <f t="shared" si="2"/>
        <v>5.2233275695582851E-2</v>
      </c>
    </row>
    <row r="18" spans="1:31" x14ac:dyDescent="0.2">
      <c r="A18" s="537">
        <f>Mailout!E22</f>
        <v>99</v>
      </c>
      <c r="B18" s="537">
        <f t="shared" si="1"/>
        <v>207945</v>
      </c>
      <c r="D18">
        <f>'Return by Mail'!F24</f>
        <v>5831</v>
      </c>
      <c r="E18" s="669">
        <f>'Return by Dropbox'!B23</f>
        <v>1137</v>
      </c>
      <c r="F18" s="537">
        <f t="shared" si="0"/>
        <v>60810</v>
      </c>
      <c r="AC18">
        <v>864</v>
      </c>
      <c r="AD18">
        <f t="shared" si="3"/>
        <v>3190</v>
      </c>
      <c r="AE18" s="714">
        <f t="shared" si="2"/>
        <v>7.1635489883451975E-2</v>
      </c>
    </row>
    <row r="19" spans="1:31" x14ac:dyDescent="0.2">
      <c r="A19" s="537">
        <f>Mailout!E23</f>
        <v>0</v>
      </c>
      <c r="B19" s="537">
        <f t="shared" ref="B19:B21" si="4">B18+A19</f>
        <v>207945</v>
      </c>
      <c r="D19">
        <f>'Return by Mail'!F25</f>
        <v>797</v>
      </c>
      <c r="E19" s="669">
        <f>'Return by Dropbox'!B24</f>
        <v>1513</v>
      </c>
      <c r="F19" s="537">
        <f t="shared" si="0"/>
        <v>63120</v>
      </c>
      <c r="AC19">
        <v>603</v>
      </c>
      <c r="AD19">
        <f t="shared" si="3"/>
        <v>3793</v>
      </c>
      <c r="AE19" s="714">
        <f t="shared" si="2"/>
        <v>8.5176618535402301E-2</v>
      </c>
    </row>
    <row r="20" spans="1:31" x14ac:dyDescent="0.2">
      <c r="A20" s="537">
        <f>Mailout!E24</f>
        <v>5860</v>
      </c>
      <c r="B20" s="537">
        <f t="shared" si="4"/>
        <v>213805</v>
      </c>
      <c r="D20">
        <f>'Return by Mail'!F26</f>
        <v>5544</v>
      </c>
      <c r="E20" s="669">
        <f>'Return by Dropbox'!B25</f>
        <v>1311</v>
      </c>
      <c r="F20" s="537">
        <f t="shared" si="0"/>
        <v>69975</v>
      </c>
      <c r="AC20">
        <v>608</v>
      </c>
      <c r="AD20">
        <f t="shared" si="3"/>
        <v>4401</v>
      </c>
      <c r="AE20" s="714">
        <f t="shared" si="2"/>
        <v>9.8830028519458352E-2</v>
      </c>
    </row>
    <row r="21" spans="1:31" x14ac:dyDescent="0.2">
      <c r="A21" s="537">
        <f>Mailout!E25</f>
        <v>7537</v>
      </c>
      <c r="B21" s="537">
        <f t="shared" si="4"/>
        <v>221342</v>
      </c>
      <c r="D21">
        <f>'Return by Mail'!F27</f>
        <v>4132</v>
      </c>
      <c r="E21" s="669">
        <f>'Return by Dropbox'!B26</f>
        <v>950</v>
      </c>
      <c r="F21" s="537">
        <f t="shared" si="0"/>
        <v>75057</v>
      </c>
      <c r="AC21">
        <v>19</v>
      </c>
      <c r="AD21">
        <f t="shared" si="3"/>
        <v>4420</v>
      </c>
      <c r="AE21" s="714">
        <f t="shared" si="2"/>
        <v>9.9256697581460107E-2</v>
      </c>
    </row>
    <row r="22" spans="1:31" x14ac:dyDescent="0.2">
      <c r="A22" s="537">
        <f>Mailout!E26</f>
        <v>5121</v>
      </c>
      <c r="B22" s="537">
        <f t="shared" ref="B22:B23" si="5">B21+A22</f>
        <v>226463</v>
      </c>
      <c r="D22">
        <f>'Return by Mail'!F28</f>
        <v>3664</v>
      </c>
      <c r="E22" s="669">
        <f>'Return by Dropbox'!B27</f>
        <v>1271</v>
      </c>
      <c r="F22" s="537">
        <f t="shared" si="0"/>
        <v>79992</v>
      </c>
      <c r="AC22">
        <v>1598</v>
      </c>
      <c r="AD22">
        <f t="shared" si="3"/>
        <v>6018</v>
      </c>
      <c r="AE22" s="714">
        <f t="shared" si="2"/>
        <v>0.13514181132244954</v>
      </c>
    </row>
    <row r="23" spans="1:31" x14ac:dyDescent="0.2">
      <c r="A23" s="537">
        <f>Mailout!E27</f>
        <v>2912</v>
      </c>
      <c r="B23" s="537">
        <f t="shared" si="5"/>
        <v>229375</v>
      </c>
      <c r="D23">
        <f>'Return by Mail'!F29</f>
        <v>3259</v>
      </c>
      <c r="E23" s="669">
        <f>'Return by Dropbox'!B28</f>
        <v>763</v>
      </c>
      <c r="F23" s="537">
        <f t="shared" si="0"/>
        <v>84014</v>
      </c>
      <c r="AC23">
        <v>543</v>
      </c>
      <c r="AD23">
        <f t="shared" si="3"/>
        <v>6561</v>
      </c>
      <c r="AE23" s="714">
        <f t="shared" si="2"/>
        <v>0.14733556398913117</v>
      </c>
    </row>
    <row r="24" spans="1:31" x14ac:dyDescent="0.2">
      <c r="A24" s="537">
        <f>Mailout!E28</f>
        <v>4154</v>
      </c>
      <c r="B24" s="537">
        <f t="shared" ref="B24" si="6">B23+A24</f>
        <v>233529</v>
      </c>
      <c r="D24">
        <f>'Return by Mail'!F31</f>
        <v>0</v>
      </c>
      <c r="E24" s="669">
        <f>'Return by Dropbox'!B30</f>
        <v>1443</v>
      </c>
      <c r="F24" s="537">
        <f t="shared" si="0"/>
        <v>85457</v>
      </c>
      <c r="AC24">
        <v>1289</v>
      </c>
      <c r="AD24">
        <f t="shared" si="3"/>
        <v>7850</v>
      </c>
      <c r="AE24" s="714">
        <f t="shared" si="2"/>
        <v>0.17628169140598685</v>
      </c>
    </row>
    <row r="25" spans="1:31" x14ac:dyDescent="0.2">
      <c r="A25" s="537">
        <f>Mailout!E29</f>
        <v>0</v>
      </c>
      <c r="B25" s="537">
        <f t="shared" ref="B25" si="7">B24+A25</f>
        <v>233529</v>
      </c>
      <c r="D25">
        <f>'Return by Mail'!F32</f>
        <v>5991</v>
      </c>
      <c r="E25" s="669">
        <f>'Return by Dropbox'!B31</f>
        <v>1581</v>
      </c>
      <c r="F25" s="537">
        <f t="shared" si="0"/>
        <v>93029</v>
      </c>
      <c r="AC25">
        <v>1090</v>
      </c>
      <c r="AD25">
        <f t="shared" si="3"/>
        <v>8940</v>
      </c>
      <c r="AE25" s="714">
        <f t="shared" si="2"/>
        <v>0.20075902180503469</v>
      </c>
    </row>
    <row r="26" spans="1:31" x14ac:dyDescent="0.2">
      <c r="A26" s="537">
        <f>Mailout!E30</f>
        <v>0</v>
      </c>
      <c r="B26" s="537">
        <f t="shared" ref="B26:B28" si="8">B25+A26</f>
        <v>233529</v>
      </c>
      <c r="D26">
        <f>'Return by Mail'!F33</f>
        <v>775</v>
      </c>
      <c r="E26" s="669">
        <f>'Return by Dropbox'!B32</f>
        <v>3912</v>
      </c>
      <c r="F26" s="537">
        <f t="shared" si="0"/>
        <v>97716</v>
      </c>
      <c r="AC26">
        <v>2333</v>
      </c>
      <c r="AD26">
        <f t="shared" si="3"/>
        <v>11273</v>
      </c>
      <c r="AE26" s="714">
        <f t="shared" si="2"/>
        <v>0.25314949136556558</v>
      </c>
    </row>
    <row r="27" spans="1:31" x14ac:dyDescent="0.2">
      <c r="A27" s="537">
        <f>Mailout!E31</f>
        <v>0</v>
      </c>
      <c r="B27" s="537">
        <f t="shared" si="8"/>
        <v>233529</v>
      </c>
      <c r="D27">
        <f>'Return by Mail'!F34</f>
        <v>5713</v>
      </c>
      <c r="E27" s="669">
        <f>'Return by Dropbox'!B33</f>
        <v>4141</v>
      </c>
      <c r="F27" s="537">
        <f t="shared" si="0"/>
        <v>107570</v>
      </c>
      <c r="AC27">
        <v>294</v>
      </c>
      <c r="AD27">
        <f t="shared" si="3"/>
        <v>11567</v>
      </c>
      <c r="AE27" s="714">
        <f t="shared" si="2"/>
        <v>0.25975163369338211</v>
      </c>
    </row>
    <row r="28" spans="1:31" x14ac:dyDescent="0.2">
      <c r="A28" s="537">
        <f>Mailout!E32</f>
        <v>5724</v>
      </c>
      <c r="B28" s="537">
        <f t="shared" si="8"/>
        <v>239253</v>
      </c>
      <c r="D28">
        <f>'Return by Mail'!F35</f>
        <v>5180</v>
      </c>
      <c r="E28" s="669">
        <f>'Return by Dropbox'!B34</f>
        <v>3178</v>
      </c>
      <c r="F28" s="537">
        <f t="shared" si="0"/>
        <v>115928</v>
      </c>
      <c r="AC28">
        <v>1480</v>
      </c>
      <c r="AD28">
        <f t="shared" si="3"/>
        <v>13047</v>
      </c>
      <c r="AE28" s="714">
        <f t="shared" si="2"/>
        <v>0.29298690799667648</v>
      </c>
    </row>
    <row r="29" spans="1:31" x14ac:dyDescent="0.2">
      <c r="A29" s="537">
        <f>Mailout!E33</f>
        <v>3009</v>
      </c>
      <c r="B29" s="537">
        <f t="shared" ref="B29" si="9">B28+A29</f>
        <v>242262</v>
      </c>
      <c r="D29">
        <f>'Return by Mail'!F36</f>
        <v>3875</v>
      </c>
      <c r="E29" s="669">
        <f>'Return by Dropbox'!B35</f>
        <v>4830</v>
      </c>
      <c r="F29" s="537">
        <f t="shared" si="0"/>
        <v>124633</v>
      </c>
      <c r="AC29">
        <v>1227</v>
      </c>
      <c r="AD29">
        <f t="shared" si="3"/>
        <v>14274</v>
      </c>
      <c r="AE29" s="714">
        <f t="shared" si="2"/>
        <v>0.32054074689542117</v>
      </c>
    </row>
    <row r="30" spans="1:31" x14ac:dyDescent="0.2">
      <c r="A30" s="537">
        <f>Mailout!E34</f>
        <v>2230</v>
      </c>
      <c r="B30" s="537">
        <f t="shared" ref="B30" si="10">B29+A30</f>
        <v>244492</v>
      </c>
      <c r="D30">
        <f>'Return by Mail'!F37</f>
        <v>0</v>
      </c>
      <c r="E30" s="669">
        <f>'Return by Dropbox'!B36</f>
        <v>1171</v>
      </c>
      <c r="F30" s="537">
        <f t="shared" si="0"/>
        <v>125804</v>
      </c>
      <c r="AC30">
        <v>1059</v>
      </c>
      <c r="AD30">
        <f t="shared" si="3"/>
        <v>15333</v>
      </c>
      <c r="AE30" s="714">
        <f t="shared" si="2"/>
        <v>0.34432193303541353</v>
      </c>
    </row>
    <row r="31" spans="1:31" x14ac:dyDescent="0.2">
      <c r="A31" s="537">
        <f>Mailout!E35</f>
        <v>4079</v>
      </c>
      <c r="B31" s="537">
        <f t="shared" ref="B31" si="11">B30+A31</f>
        <v>248571</v>
      </c>
      <c r="D31">
        <f>'Return by Mail'!F38</f>
        <v>5711</v>
      </c>
      <c r="E31" s="669">
        <f>'Return by Dropbox'!B37</f>
        <v>3041</v>
      </c>
      <c r="F31" s="537">
        <f t="shared" si="0"/>
        <v>134556</v>
      </c>
      <c r="AC31">
        <v>2902</v>
      </c>
      <c r="AD31">
        <f t="shared" si="3"/>
        <v>18235</v>
      </c>
      <c r="AE31" s="714">
        <f t="shared" si="2"/>
        <v>0.40949001818957581</v>
      </c>
    </row>
    <row r="32" spans="1:31" x14ac:dyDescent="0.2">
      <c r="A32" s="537">
        <f>Mailout!E36</f>
        <v>0</v>
      </c>
      <c r="B32" s="537">
        <f t="shared" ref="B32" si="12">B31+A32</f>
        <v>248571</v>
      </c>
      <c r="D32">
        <f>'Return by Mail'!F39</f>
        <v>706</v>
      </c>
      <c r="E32" s="669">
        <f>'Return by Dropbox'!B38</f>
        <v>3041</v>
      </c>
      <c r="F32" s="537">
        <f t="shared" si="0"/>
        <v>138303</v>
      </c>
      <c r="AC32">
        <v>473</v>
      </c>
      <c r="AD32">
        <f t="shared" si="3"/>
        <v>18708</v>
      </c>
      <c r="AE32" s="714">
        <f t="shared" si="2"/>
        <v>0.42011183220677728</v>
      </c>
    </row>
    <row r="33" spans="1:31" x14ac:dyDescent="0.2">
      <c r="A33" s="537">
        <f>Mailout!E37</f>
        <v>0</v>
      </c>
      <c r="B33" s="537">
        <f t="shared" ref="B33" si="13">B32+A33</f>
        <v>248571</v>
      </c>
      <c r="D33">
        <f>'Return by Mail'!F40</f>
        <v>4464</v>
      </c>
      <c r="E33" s="669">
        <f>'Return by Dropbox'!B39</f>
        <v>2462</v>
      </c>
      <c r="F33" s="537">
        <f t="shared" si="0"/>
        <v>145229</v>
      </c>
      <c r="AC33">
        <v>1937</v>
      </c>
      <c r="AD33">
        <f t="shared" si="3"/>
        <v>20645</v>
      </c>
      <c r="AE33" s="714">
        <f t="shared" si="2"/>
        <v>0.46360962026453484</v>
      </c>
    </row>
    <row r="34" spans="1:31" x14ac:dyDescent="0.2">
      <c r="A34" s="537">
        <f>Mailout!E38</f>
        <v>4678</v>
      </c>
      <c r="B34" s="537">
        <f t="shared" ref="B34" si="14">B33+A34</f>
        <v>253249</v>
      </c>
      <c r="D34">
        <f>'Return by Mail'!F41</f>
        <v>3300</v>
      </c>
      <c r="E34" s="669">
        <f>'Return by Dropbox'!B40</f>
        <v>3178</v>
      </c>
      <c r="F34" s="537">
        <f t="shared" si="0"/>
        <v>151707</v>
      </c>
      <c r="AC34">
        <v>1694</v>
      </c>
      <c r="AD34">
        <f t="shared" si="3"/>
        <v>22339</v>
      </c>
      <c r="AE34" s="714">
        <f t="shared" si="2"/>
        <v>0.50165053558195416</v>
      </c>
    </row>
    <row r="35" spans="1:31" x14ac:dyDescent="0.2">
      <c r="A35" s="537">
        <f>Mailout!E39</f>
        <v>3144</v>
      </c>
      <c r="B35" s="537">
        <f t="shared" ref="B35" si="15">B34+A35</f>
        <v>256393</v>
      </c>
      <c r="D35">
        <f>'Return by Mail'!F42</f>
        <v>3434</v>
      </c>
      <c r="E35" s="669">
        <f>'Return by Dropbox'!B41</f>
        <v>2557</v>
      </c>
      <c r="F35" s="537">
        <f t="shared" si="0"/>
        <v>157698</v>
      </c>
      <c r="AC35">
        <v>1721</v>
      </c>
      <c r="AD35">
        <f t="shared" si="3"/>
        <v>24060</v>
      </c>
      <c r="AE35" s="714">
        <f t="shared" si="2"/>
        <v>0.54029777009274438</v>
      </c>
    </row>
    <row r="36" spans="1:31" x14ac:dyDescent="0.2">
      <c r="A36" s="537">
        <f>Mailout!E40</f>
        <v>2786</v>
      </c>
      <c r="B36" s="537">
        <f t="shared" ref="B36" si="16">B35+A36</f>
        <v>259179</v>
      </c>
      <c r="D36">
        <f>'Return by Mail'!F43</f>
        <v>2852</v>
      </c>
      <c r="E36" s="669">
        <f>'Return by Dropbox'!B42</f>
        <v>4001</v>
      </c>
      <c r="F36" s="537">
        <f t="shared" si="0"/>
        <v>164551</v>
      </c>
      <c r="AC36">
        <v>1528</v>
      </c>
      <c r="AD36">
        <f t="shared" si="3"/>
        <v>25588</v>
      </c>
      <c r="AE36" s="714">
        <f t="shared" si="2"/>
        <v>0.57461094518425371</v>
      </c>
    </row>
    <row r="37" spans="1:31" x14ac:dyDescent="0.2">
      <c r="A37" s="537">
        <f>Mailout!E41</f>
        <v>2896</v>
      </c>
      <c r="B37" s="537">
        <f t="shared" ref="B37" si="17">B36+A37</f>
        <v>262075</v>
      </c>
      <c r="D37">
        <f>'Return by Mail'!F45</f>
        <v>5169</v>
      </c>
      <c r="E37" s="669">
        <f>'Return by Dropbox'!B44</f>
        <v>2742</v>
      </c>
      <c r="F37" s="537">
        <f t="shared" si="0"/>
        <v>172462</v>
      </c>
      <c r="AC37">
        <v>34</v>
      </c>
      <c r="AD37">
        <f t="shared" si="3"/>
        <v>25622</v>
      </c>
      <c r="AE37" s="714">
        <f t="shared" si="2"/>
        <v>0.57537445824257261</v>
      </c>
    </row>
    <row r="38" spans="1:31" x14ac:dyDescent="0.2">
      <c r="A38" s="537">
        <f>Mailout!E42</f>
        <v>2584</v>
      </c>
      <c r="B38" s="537">
        <f t="shared" ref="B38" si="18">B37+A38</f>
        <v>264659</v>
      </c>
      <c r="D38">
        <f>'Return by Mail'!F46</f>
        <v>722</v>
      </c>
      <c r="E38" s="669">
        <f>'Return by Dropbox'!B45</f>
        <v>3374</v>
      </c>
      <c r="F38" s="537">
        <f t="shared" si="0"/>
        <v>176558</v>
      </c>
      <c r="AC38">
        <v>2113</v>
      </c>
      <c r="AD38">
        <f t="shared" si="3"/>
        <v>27735</v>
      </c>
      <c r="AE38" s="714">
        <f t="shared" si="2"/>
        <v>0.6228245491904516</v>
      </c>
    </row>
    <row r="39" spans="1:31" x14ac:dyDescent="0.2">
      <c r="A39" s="537">
        <f>Mailout!E43</f>
        <v>2273</v>
      </c>
      <c r="B39" s="537">
        <f t="shared" ref="B39" si="19">B38+A39</f>
        <v>266932</v>
      </c>
      <c r="D39">
        <f>'Return by Mail'!F47</f>
        <v>4365</v>
      </c>
      <c r="E39" s="669">
        <f>'Return by Dropbox'!B46</f>
        <v>3547</v>
      </c>
      <c r="F39" s="537">
        <f t="shared" si="0"/>
        <v>184470</v>
      </c>
      <c r="AC39">
        <v>872</v>
      </c>
      <c r="AD39">
        <f t="shared" si="3"/>
        <v>28607</v>
      </c>
      <c r="AE39" s="714">
        <f t="shared" si="2"/>
        <v>0.64240641350968986</v>
      </c>
    </row>
    <row r="40" spans="1:31" x14ac:dyDescent="0.2">
      <c r="A40" s="537">
        <f>Mailout!E44</f>
        <v>0</v>
      </c>
      <c r="B40" s="537">
        <f t="shared" ref="B40:B42" si="20">B39+A40</f>
        <v>266932</v>
      </c>
      <c r="D40">
        <f>'Return by Mail'!F48</f>
        <v>3433</v>
      </c>
      <c r="E40" s="669">
        <f>'Return by Dropbox'!B47</f>
        <v>3108</v>
      </c>
      <c r="F40" s="537">
        <f t="shared" si="0"/>
        <v>191011</v>
      </c>
      <c r="AC40">
        <v>2183</v>
      </c>
      <c r="AD40">
        <f t="shared" si="3"/>
        <v>30790</v>
      </c>
      <c r="AE40" s="714">
        <f t="shared" si="2"/>
        <v>0.69142844310704898</v>
      </c>
    </row>
    <row r="41" spans="1:31" x14ac:dyDescent="0.2">
      <c r="A41" s="537">
        <f>Mailout!E45</f>
        <v>1293</v>
      </c>
      <c r="B41" s="537">
        <f t="shared" si="20"/>
        <v>268225</v>
      </c>
      <c r="D41">
        <f>'Return by Mail'!F49</f>
        <v>3298</v>
      </c>
      <c r="E41" s="669">
        <f>'Return by Dropbox'!B48</f>
        <v>3919</v>
      </c>
      <c r="F41" s="537">
        <f t="shared" si="0"/>
        <v>198228</v>
      </c>
      <c r="AC41">
        <v>2413</v>
      </c>
      <c r="AD41">
        <f t="shared" si="3"/>
        <v>33203</v>
      </c>
      <c r="AE41" s="714">
        <f t="shared" si="2"/>
        <v>0.74561541398127151</v>
      </c>
    </row>
    <row r="42" spans="1:31" x14ac:dyDescent="0.2">
      <c r="A42" s="537">
        <f>Mailout!E46</f>
        <v>27</v>
      </c>
      <c r="B42" s="537">
        <f t="shared" si="20"/>
        <v>268252</v>
      </c>
      <c r="D42">
        <f>'Return by Mail'!F50</f>
        <v>2825</v>
      </c>
      <c r="E42" s="669">
        <f>'Return by Dropbox'!B49</f>
        <v>5222</v>
      </c>
      <c r="F42" s="537">
        <f t="shared" si="0"/>
        <v>206275</v>
      </c>
      <c r="AC42">
        <v>2400</v>
      </c>
      <c r="AD42">
        <f t="shared" si="3"/>
        <v>35603</v>
      </c>
      <c r="AE42" s="714">
        <f t="shared" si="2"/>
        <v>0.79951045339201909</v>
      </c>
    </row>
    <row r="43" spans="1:31" x14ac:dyDescent="0.2">
      <c r="A43" s="537">
        <f>Mailout!E47</f>
        <v>490</v>
      </c>
      <c r="B43" s="537">
        <f t="shared" ref="B43:B44" si="21">B42+A43</f>
        <v>268742</v>
      </c>
      <c r="D43">
        <f>'Return by Mail'!F52</f>
        <v>8036</v>
      </c>
      <c r="E43" s="669">
        <f>'Return by Dropbox'!B51</f>
        <v>1153</v>
      </c>
      <c r="F43" s="537">
        <f t="shared" si="0"/>
        <v>215464</v>
      </c>
      <c r="AC43">
        <v>4673</v>
      </c>
      <c r="AD43">
        <f t="shared" si="3"/>
        <v>40276</v>
      </c>
      <c r="AE43" s="714">
        <f t="shared" si="2"/>
        <v>0.90444858637802883</v>
      </c>
    </row>
    <row r="44" spans="1:31" x14ac:dyDescent="0.2">
      <c r="A44" s="537">
        <f>Mailout!E48</f>
        <v>85</v>
      </c>
      <c r="B44" s="537">
        <f t="shared" si="21"/>
        <v>268827</v>
      </c>
      <c r="D44">
        <f>'Return by Mail'!F53</f>
        <v>2258</v>
      </c>
      <c r="E44" s="669">
        <f>'Return by Dropbox'!B52</f>
        <v>6164</v>
      </c>
      <c r="F44" s="537">
        <f t="shared" si="0"/>
        <v>223886</v>
      </c>
      <c r="AC44">
        <v>913</v>
      </c>
      <c r="AD44">
        <f t="shared" si="3"/>
        <v>41189</v>
      </c>
      <c r="AE44" s="714">
        <f t="shared" si="2"/>
        <v>0.92495115762053404</v>
      </c>
    </row>
    <row r="45" spans="1:31" x14ac:dyDescent="0.2">
      <c r="A45" s="537">
        <f>Mailout!E49</f>
        <v>34</v>
      </c>
      <c r="B45" s="537">
        <f t="shared" ref="B45" si="22">B44+A45</f>
        <v>268861</v>
      </c>
      <c r="D45">
        <f>'Return by Mail'!F54</f>
        <v>1027</v>
      </c>
      <c r="E45" s="669">
        <v>0</v>
      </c>
      <c r="F45" s="537">
        <f t="shared" si="0"/>
        <v>224913</v>
      </c>
      <c r="AC45">
        <v>1618</v>
      </c>
      <c r="AD45">
        <f t="shared" si="3"/>
        <v>42807</v>
      </c>
      <c r="AE45" s="714">
        <f t="shared" si="2"/>
        <v>0.96128539668994628</v>
      </c>
    </row>
    <row r="46" spans="1:31" x14ac:dyDescent="0.2">
      <c r="D46">
        <f>'Return by Mail'!F55</f>
        <v>746</v>
      </c>
      <c r="E46" s="669">
        <v>0</v>
      </c>
      <c r="F46" s="537">
        <f t="shared" si="0"/>
        <v>225659</v>
      </c>
      <c r="AC46">
        <v>1724</v>
      </c>
      <c r="AD46">
        <f t="shared" si="3"/>
        <v>44531</v>
      </c>
      <c r="AE46" s="714">
        <f t="shared" si="2"/>
        <v>1</v>
      </c>
    </row>
    <row r="47" spans="1:31" x14ac:dyDescent="0.2">
      <c r="D47">
        <f>'Return by Mail'!F56</f>
        <v>662</v>
      </c>
      <c r="E47" s="669">
        <f>'Return by Dropbox'!B55</f>
        <v>0</v>
      </c>
      <c r="F47" s="537">
        <f t="shared" si="0"/>
        <v>226321</v>
      </c>
    </row>
    <row r="48" spans="1:31" x14ac:dyDescent="0.2">
      <c r="F48" s="537"/>
    </row>
  </sheetData>
  <sheetProtection algorithmName="SHA-512" hashValue="m3aFS1gST5Zb/tciYhi6SkDYyAugltxcga8zavMtETN9idlVdgafVMG3twzHdd5ZiPBCjlxnwY0ygPOCYHEVOQ==" saltValue="+730PzfOSVKjBwwruUROHg==" spinCount="100000" sheet="1" objects="1" scenarios="1"/>
  <mergeCells count="1">
    <mergeCell ref="A1:B1"/>
  </mergeCells>
  <pageMargins left="0.7" right="0.7" top="0.75" bottom="0.75" header="0.3" footer="0.3"/>
  <pageSetup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C491-E264-433F-A961-BD55F1ED2C94}">
  <dimension ref="A1:Y50"/>
  <sheetViews>
    <sheetView showGridLines="0" zoomScaleNormal="100" workbookViewId="0">
      <pane ySplit="2" topLeftCell="A16" activePane="bottomLeft" state="frozen"/>
      <selection activeCell="W3" sqref="W3"/>
      <selection pane="bottomLeft" activeCell="W3" sqref="W3"/>
    </sheetView>
  </sheetViews>
  <sheetFormatPr defaultRowHeight="14.25" x14ac:dyDescent="0.2"/>
  <cols>
    <col min="1" max="1" width="3.625" style="1" customWidth="1"/>
    <col min="2" max="2" width="10" style="1" customWidth="1"/>
    <col min="3" max="4" width="9.25" style="1" customWidth="1"/>
    <col min="5" max="5" width="8.5" style="1" customWidth="1"/>
    <col min="6" max="6" width="8.875" style="1" customWidth="1"/>
    <col min="7" max="7" width="1.75" style="1" customWidth="1"/>
    <col min="8" max="9" width="9" style="1"/>
    <col min="10" max="10" width="12.25" style="1" bestFit="1" customWidth="1"/>
    <col min="11" max="14" width="9" style="1"/>
    <col min="15" max="15" width="8.375" style="1" customWidth="1"/>
    <col min="16" max="16" width="2.125" style="1" customWidth="1"/>
    <col min="17" max="17" width="8.875" style="1" customWidth="1"/>
    <col min="18" max="19" width="9.125" style="1" customWidth="1"/>
    <col min="20" max="20" width="8.25" style="1" customWidth="1"/>
    <col min="21" max="16384" width="9" style="1"/>
  </cols>
  <sheetData>
    <row r="1" spans="1:25" ht="43.5" customHeight="1" thickBot="1" x14ac:dyDescent="0.25">
      <c r="A1" s="846" t="s">
        <v>21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  <c r="Y1" s="846"/>
    </row>
    <row r="2" spans="1:25" ht="61.5" customHeight="1" thickBot="1" x14ac:dyDescent="0.25">
      <c r="B2" s="2" t="s">
        <v>45</v>
      </c>
      <c r="C2" s="3" t="s">
        <v>39</v>
      </c>
      <c r="D2" s="4" t="s">
        <v>23</v>
      </c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8" t="s">
        <v>22</v>
      </c>
      <c r="R2" s="8" t="s">
        <v>31</v>
      </c>
      <c r="S2" s="9" t="s">
        <v>23</v>
      </c>
      <c r="T2" s="10" t="s">
        <v>29</v>
      </c>
      <c r="U2" s="11" t="s">
        <v>32</v>
      </c>
      <c r="V2" s="12" t="s">
        <v>30</v>
      </c>
      <c r="W2" s="13" t="s">
        <v>37</v>
      </c>
      <c r="X2" s="14" t="s">
        <v>36</v>
      </c>
      <c r="Y2" s="15" t="s">
        <v>38</v>
      </c>
    </row>
    <row r="3" spans="1:25" x14ac:dyDescent="0.2">
      <c r="A3" s="16">
        <v>2</v>
      </c>
      <c r="B3" s="201">
        <f>49+661</f>
        <v>710</v>
      </c>
      <c r="C3" s="151">
        <f>B3</f>
        <v>710</v>
      </c>
      <c r="D3" s="202">
        <f>C3/$B$36</f>
        <v>0.13413942943510296</v>
      </c>
      <c r="E3" s="262" t="e">
        <f>Mailout!#REF!</f>
        <v>#REF!</v>
      </c>
      <c r="F3" s="263" t="e">
        <f>E3</f>
        <v>#REF!</v>
      </c>
      <c r="Q3" s="139">
        <v>20109</v>
      </c>
      <c r="R3" s="152">
        <f>Q3</f>
        <v>20109</v>
      </c>
      <c r="S3" s="202">
        <f t="shared" ref="S3:S15" si="0">R3/$Q$36</f>
        <v>0.351212100041917</v>
      </c>
      <c r="T3" s="282">
        <v>9920</v>
      </c>
      <c r="U3" s="283">
        <f>T3</f>
        <v>9920</v>
      </c>
      <c r="V3" s="284">
        <f>U3/$T$36</f>
        <v>0.25295797633618933</v>
      </c>
      <c r="W3" s="252">
        <v>7100</v>
      </c>
      <c r="X3" s="152">
        <f>W3</f>
        <v>7100</v>
      </c>
      <c r="Y3" s="207">
        <f t="shared" ref="Y3:Y15" si="1">X3/$W$36</f>
        <v>0.40990704924657928</v>
      </c>
    </row>
    <row r="4" spans="1:25" x14ac:dyDescent="0.2">
      <c r="A4" s="16">
        <v>3</v>
      </c>
      <c r="B4" s="204">
        <v>0</v>
      </c>
      <c r="C4" s="204">
        <f>C3+B4</f>
        <v>710</v>
      </c>
      <c r="D4" s="202">
        <f>C4/$B$36</f>
        <v>0.13413942943510296</v>
      </c>
      <c r="E4" s="203">
        <v>0</v>
      </c>
      <c r="F4" s="263" t="e">
        <f>F3+E4</f>
        <v>#REF!</v>
      </c>
      <c r="Q4" s="139">
        <v>524</v>
      </c>
      <c r="R4" s="152">
        <f t="shared" ref="R4:R15" si="2">R3+Q4</f>
        <v>20633</v>
      </c>
      <c r="S4" s="202">
        <f t="shared" si="0"/>
        <v>0.36036397932094455</v>
      </c>
      <c r="T4" s="264">
        <v>1010</v>
      </c>
      <c r="U4" s="183">
        <f t="shared" ref="U4:U15" si="3">U3+T4</f>
        <v>10930</v>
      </c>
      <c r="V4" s="206">
        <f t="shared" ref="V4:V15" si="4">U4/$T$36</f>
        <v>0.27871277029783764</v>
      </c>
      <c r="W4" s="252">
        <v>162</v>
      </c>
      <c r="X4" s="152">
        <f>X3+W4</f>
        <v>7262</v>
      </c>
      <c r="Y4" s="207">
        <f t="shared" si="1"/>
        <v>0.41925985797586746</v>
      </c>
    </row>
    <row r="5" spans="1:25" ht="13.5" customHeight="1" x14ac:dyDescent="0.2">
      <c r="A5" s="16">
        <v>4</v>
      </c>
      <c r="B5" s="201">
        <v>17</v>
      </c>
      <c r="C5" s="151">
        <f>C3+B5</f>
        <v>727</v>
      </c>
      <c r="D5" s="202">
        <f t="shared" ref="D5:D35" si="5">C5/$B$36</f>
        <v>0.13735121859059135</v>
      </c>
      <c r="E5" s="262">
        <f>Mailout!E9</f>
        <v>0</v>
      </c>
      <c r="F5" s="263" t="e">
        <f>F3+E5</f>
        <v>#REF!</v>
      </c>
      <c r="Q5" s="139">
        <v>688</v>
      </c>
      <c r="R5" s="152">
        <f t="shared" si="2"/>
        <v>21321</v>
      </c>
      <c r="S5" s="202">
        <f t="shared" si="0"/>
        <v>0.37238018722928601</v>
      </c>
      <c r="T5" s="264">
        <v>600</v>
      </c>
      <c r="U5" s="183">
        <f t="shared" si="3"/>
        <v>11530</v>
      </c>
      <c r="V5" s="206">
        <f t="shared" si="4"/>
        <v>0.29401264789881681</v>
      </c>
      <c r="W5" s="252">
        <v>194</v>
      </c>
      <c r="X5" s="152">
        <f t="shared" ref="X5:X15" si="6">X4+W5</f>
        <v>7456</v>
      </c>
      <c r="Y5" s="207">
        <f t="shared" si="1"/>
        <v>0.43046013509612607</v>
      </c>
    </row>
    <row r="6" spans="1:25" x14ac:dyDescent="0.2">
      <c r="A6" s="16">
        <v>5</v>
      </c>
      <c r="B6" s="201">
        <v>62</v>
      </c>
      <c r="C6" s="151">
        <f>C5+B6</f>
        <v>789</v>
      </c>
      <c r="D6" s="202">
        <f t="shared" si="5"/>
        <v>0.14906480256943133</v>
      </c>
      <c r="E6" s="262">
        <f>Mailout!E10</f>
        <v>4137</v>
      </c>
      <c r="F6" s="263" t="e">
        <f t="shared" ref="F6:F30" si="7">F5+E6</f>
        <v>#REF!</v>
      </c>
      <c r="Q6" s="139">
        <v>1384</v>
      </c>
      <c r="R6" s="152">
        <f t="shared" si="2"/>
        <v>22705</v>
      </c>
      <c r="S6" s="202">
        <f t="shared" si="0"/>
        <v>0.39655232639374038</v>
      </c>
      <c r="T6" s="264">
        <v>1088</v>
      </c>
      <c r="U6" s="183">
        <f t="shared" si="3"/>
        <v>12618</v>
      </c>
      <c r="V6" s="206">
        <f t="shared" si="4"/>
        <v>0.32175642594859238</v>
      </c>
      <c r="W6" s="252">
        <v>339</v>
      </c>
      <c r="X6" s="152">
        <f t="shared" si="6"/>
        <v>7795</v>
      </c>
      <c r="Y6" s="207">
        <f t="shared" si="1"/>
        <v>0.4500317533629698</v>
      </c>
    </row>
    <row r="7" spans="1:25" x14ac:dyDescent="0.2">
      <c r="A7" s="16">
        <v>6</v>
      </c>
      <c r="B7" s="201">
        <v>198</v>
      </c>
      <c r="C7" s="151">
        <f>C6+B7</f>
        <v>987</v>
      </c>
      <c r="D7" s="202">
        <f t="shared" si="5"/>
        <v>0.18647269979217834</v>
      </c>
      <c r="E7" s="262">
        <f>Mailout!E11</f>
        <v>5362</v>
      </c>
      <c r="F7" s="263" t="e">
        <f t="shared" si="7"/>
        <v>#REF!</v>
      </c>
      <c r="Q7" s="139">
        <v>169</v>
      </c>
      <c r="R7" s="152">
        <f t="shared" si="2"/>
        <v>22874</v>
      </c>
      <c r="S7" s="202">
        <f t="shared" si="0"/>
        <v>0.39950398211541149</v>
      </c>
      <c r="T7" s="264">
        <v>684</v>
      </c>
      <c r="U7" s="183">
        <f t="shared" si="3"/>
        <v>13302</v>
      </c>
      <c r="V7" s="208">
        <f t="shared" si="4"/>
        <v>0.33919828641370869</v>
      </c>
      <c r="W7" s="252">
        <v>261</v>
      </c>
      <c r="X7" s="152">
        <f t="shared" si="6"/>
        <v>8056</v>
      </c>
      <c r="Y7" s="207">
        <f t="shared" si="1"/>
        <v>0.46510016742682292</v>
      </c>
    </row>
    <row r="8" spans="1:25" x14ac:dyDescent="0.2">
      <c r="A8" s="16">
        <v>7</v>
      </c>
      <c r="B8" s="201">
        <v>118</v>
      </c>
      <c r="C8" s="152">
        <f>C7+B8</f>
        <v>1105</v>
      </c>
      <c r="D8" s="202">
        <f t="shared" si="5"/>
        <v>0.20876629510674477</v>
      </c>
      <c r="E8" s="262">
        <f>Mailout!E12</f>
        <v>5293</v>
      </c>
      <c r="F8" s="263" t="e">
        <f t="shared" si="7"/>
        <v>#REF!</v>
      </c>
      <c r="Q8" s="139">
        <v>1309</v>
      </c>
      <c r="R8" s="152">
        <f t="shared" si="2"/>
        <v>24183</v>
      </c>
      <c r="S8" s="202">
        <f t="shared" si="0"/>
        <v>0.42236621489450887</v>
      </c>
      <c r="T8" s="264">
        <v>1234</v>
      </c>
      <c r="U8" s="183">
        <f t="shared" si="3"/>
        <v>14536</v>
      </c>
      <c r="V8" s="208">
        <f t="shared" si="4"/>
        <v>0.37066503467972256</v>
      </c>
      <c r="W8" s="252">
        <v>253</v>
      </c>
      <c r="X8" s="152">
        <f t="shared" si="6"/>
        <v>8309</v>
      </c>
      <c r="Y8" s="207">
        <f t="shared" si="1"/>
        <v>0.47970671439293344</v>
      </c>
    </row>
    <row r="9" spans="1:25" x14ac:dyDescent="0.2">
      <c r="A9" s="16">
        <v>8</v>
      </c>
      <c r="B9" s="204">
        <v>0</v>
      </c>
      <c r="C9" s="152">
        <f>C8+B9</f>
        <v>1105</v>
      </c>
      <c r="D9" s="202">
        <f t="shared" si="5"/>
        <v>0.20876629510674477</v>
      </c>
      <c r="E9" s="262" t="e">
        <f>Mailout!#REF!</f>
        <v>#REF!</v>
      </c>
      <c r="F9" s="263" t="e">
        <f t="shared" si="7"/>
        <v>#REF!</v>
      </c>
      <c r="Q9" s="139">
        <v>1072</v>
      </c>
      <c r="R9" s="152">
        <f t="shared" si="2"/>
        <v>25255</v>
      </c>
      <c r="S9" s="202">
        <f t="shared" si="0"/>
        <v>0.44108914349587819</v>
      </c>
      <c r="T9" s="264">
        <v>1161</v>
      </c>
      <c r="U9" s="183">
        <f t="shared" si="3"/>
        <v>15697</v>
      </c>
      <c r="V9" s="208">
        <f t="shared" si="4"/>
        <v>0.40027029783761731</v>
      </c>
      <c r="W9" s="252">
        <v>190</v>
      </c>
      <c r="X9" s="152">
        <f t="shared" si="6"/>
        <v>8499</v>
      </c>
      <c r="Y9" s="207">
        <f t="shared" si="1"/>
        <v>0.49067605796432079</v>
      </c>
    </row>
    <row r="10" spans="1:25" x14ac:dyDescent="0.2">
      <c r="A10" s="16">
        <v>9</v>
      </c>
      <c r="B10" s="204">
        <v>0</v>
      </c>
      <c r="C10" s="152">
        <f>C9+B10</f>
        <v>1105</v>
      </c>
      <c r="D10" s="202">
        <f t="shared" si="5"/>
        <v>0.20876629510674477</v>
      </c>
      <c r="E10" s="262" t="e">
        <f>Mailout!#REF!</f>
        <v>#REF!</v>
      </c>
      <c r="F10" s="263" t="e">
        <f t="shared" si="7"/>
        <v>#REF!</v>
      </c>
      <c r="Q10" s="139">
        <v>1897</v>
      </c>
      <c r="R10" s="152">
        <f t="shared" si="2"/>
        <v>27152</v>
      </c>
      <c r="S10" s="202">
        <f t="shared" si="0"/>
        <v>0.47422104233617435</v>
      </c>
      <c r="T10" s="264">
        <v>642</v>
      </c>
      <c r="U10" s="183">
        <f t="shared" si="3"/>
        <v>16339</v>
      </c>
      <c r="V10" s="208">
        <f t="shared" si="4"/>
        <v>0.41664116687066505</v>
      </c>
      <c r="W10" s="252">
        <v>241</v>
      </c>
      <c r="X10" s="152">
        <f t="shared" si="6"/>
        <v>8740</v>
      </c>
      <c r="Y10" s="207">
        <f t="shared" si="1"/>
        <v>0.50458980428381728</v>
      </c>
    </row>
    <row r="11" spans="1:25" x14ac:dyDescent="0.2">
      <c r="A11" s="16">
        <v>10</v>
      </c>
      <c r="B11" s="201">
        <v>42</v>
      </c>
      <c r="C11" s="152">
        <f>C8+B11</f>
        <v>1147</v>
      </c>
      <c r="D11" s="202">
        <f t="shared" si="5"/>
        <v>0.21670130360853959</v>
      </c>
      <c r="E11" s="262">
        <f>Mailout!E17</f>
        <v>8216</v>
      </c>
      <c r="F11" s="263" t="e">
        <f t="shared" si="7"/>
        <v>#REF!</v>
      </c>
      <c r="Q11" s="139">
        <v>1196</v>
      </c>
      <c r="R11" s="152">
        <f t="shared" si="2"/>
        <v>28348</v>
      </c>
      <c r="S11" s="202">
        <f t="shared" si="0"/>
        <v>0.49510968282800055</v>
      </c>
      <c r="T11" s="264">
        <v>527</v>
      </c>
      <c r="U11" s="183">
        <f t="shared" si="3"/>
        <v>16866</v>
      </c>
      <c r="V11" s="208">
        <f t="shared" si="4"/>
        <v>0.4300795593635251</v>
      </c>
      <c r="W11" s="252">
        <v>290</v>
      </c>
      <c r="X11" s="152">
        <f t="shared" si="6"/>
        <v>9030</v>
      </c>
      <c r="Y11" s="207">
        <f t="shared" si="1"/>
        <v>0.5213324865769875</v>
      </c>
    </row>
    <row r="12" spans="1:25" x14ac:dyDescent="0.2">
      <c r="A12" s="16">
        <v>11</v>
      </c>
      <c r="B12" s="201">
        <v>192</v>
      </c>
      <c r="C12" s="152">
        <f t="shared" ref="C12:C24" si="8">C11+B12</f>
        <v>1339</v>
      </c>
      <c r="D12" s="202">
        <f t="shared" si="5"/>
        <v>0.25297562818817304</v>
      </c>
      <c r="E12" s="262">
        <f>Mailout!E18</f>
        <v>8704</v>
      </c>
      <c r="F12" s="263" t="e">
        <f t="shared" si="7"/>
        <v>#REF!</v>
      </c>
      <c r="Q12" s="139">
        <v>1694</v>
      </c>
      <c r="R12" s="152">
        <f t="shared" si="2"/>
        <v>30042</v>
      </c>
      <c r="S12" s="202">
        <f t="shared" si="0"/>
        <v>0.52469610171859715</v>
      </c>
      <c r="T12" s="264">
        <v>123</v>
      </c>
      <c r="U12" s="183">
        <f t="shared" si="3"/>
        <v>16989</v>
      </c>
      <c r="V12" s="208">
        <f t="shared" si="4"/>
        <v>0.43321603427172584</v>
      </c>
      <c r="W12" s="252">
        <v>294</v>
      </c>
      <c r="X12" s="152">
        <f t="shared" si="6"/>
        <v>9324</v>
      </c>
      <c r="Y12" s="207">
        <f t="shared" si="1"/>
        <v>0.53830610241902888</v>
      </c>
    </row>
    <row r="13" spans="1:25" x14ac:dyDescent="0.2">
      <c r="A13" s="16">
        <v>12</v>
      </c>
      <c r="B13" s="201">
        <v>72</v>
      </c>
      <c r="C13" s="152">
        <f t="shared" si="8"/>
        <v>1411</v>
      </c>
      <c r="D13" s="202">
        <f t="shared" si="5"/>
        <v>0.26657849990553562</v>
      </c>
      <c r="E13" s="262">
        <f>Mailout!E19</f>
        <v>4871</v>
      </c>
      <c r="F13" s="263" t="e">
        <f t="shared" si="7"/>
        <v>#REF!</v>
      </c>
      <c r="Q13" s="139">
        <v>577</v>
      </c>
      <c r="R13" s="152">
        <f t="shared" si="2"/>
        <v>30619</v>
      </c>
      <c r="S13" s="202">
        <f t="shared" si="0"/>
        <v>0.53477364817661033</v>
      </c>
      <c r="T13" s="264">
        <v>1801</v>
      </c>
      <c r="U13" s="183">
        <f t="shared" si="3"/>
        <v>18790</v>
      </c>
      <c r="V13" s="208">
        <f t="shared" si="4"/>
        <v>0.47914116687066505</v>
      </c>
      <c r="W13" s="252">
        <v>247</v>
      </c>
      <c r="X13" s="152">
        <f t="shared" si="6"/>
        <v>9571</v>
      </c>
      <c r="Y13" s="207">
        <f t="shared" si="1"/>
        <v>0.55256624906183249</v>
      </c>
    </row>
    <row r="14" spans="1:25" x14ac:dyDescent="0.2">
      <c r="A14" s="16">
        <v>13</v>
      </c>
      <c r="B14" s="201">
        <v>64</v>
      </c>
      <c r="C14" s="152">
        <f t="shared" si="8"/>
        <v>1475</v>
      </c>
      <c r="D14" s="202">
        <f t="shared" si="5"/>
        <v>0.27866994143208013</v>
      </c>
      <c r="E14" s="262" t="e">
        <f>Mailout!#REF!</f>
        <v>#REF!</v>
      </c>
      <c r="F14" s="263" t="e">
        <f t="shared" si="7"/>
        <v>#REF!</v>
      </c>
      <c r="Q14" s="139">
        <v>1675</v>
      </c>
      <c r="R14" s="152">
        <f t="shared" si="2"/>
        <v>32294</v>
      </c>
      <c r="S14" s="202">
        <f t="shared" si="0"/>
        <v>0.56402822411624987</v>
      </c>
      <c r="T14" s="264">
        <v>1709</v>
      </c>
      <c r="U14" s="183">
        <f t="shared" si="3"/>
        <v>20499</v>
      </c>
      <c r="V14" s="208">
        <f t="shared" si="4"/>
        <v>0.52272031823745413</v>
      </c>
      <c r="W14" s="252">
        <v>517</v>
      </c>
      <c r="X14" s="152">
        <f t="shared" si="6"/>
        <v>10088</v>
      </c>
      <c r="Y14" s="207">
        <f t="shared" si="1"/>
        <v>0.58241441025344953</v>
      </c>
    </row>
    <row r="15" spans="1:25" x14ac:dyDescent="0.2">
      <c r="A15" s="16">
        <v>14</v>
      </c>
      <c r="B15" s="201">
        <v>177</v>
      </c>
      <c r="C15" s="152">
        <f t="shared" si="8"/>
        <v>1652</v>
      </c>
      <c r="D15" s="202">
        <f t="shared" si="5"/>
        <v>0.31211033440392971</v>
      </c>
      <c r="E15" s="262" t="e">
        <f>Mailout!#REF!</f>
        <v>#REF!</v>
      </c>
      <c r="F15" s="263" t="e">
        <f t="shared" si="7"/>
        <v>#REF!</v>
      </c>
      <c r="Q15" s="204">
        <v>0</v>
      </c>
      <c r="R15" s="152">
        <f t="shared" si="2"/>
        <v>32294</v>
      </c>
      <c r="S15" s="202">
        <f t="shared" si="0"/>
        <v>0.56402822411624987</v>
      </c>
      <c r="T15" s="17">
        <v>0</v>
      </c>
      <c r="U15" s="183">
        <f t="shared" si="3"/>
        <v>20499</v>
      </c>
      <c r="V15" s="208">
        <f t="shared" si="4"/>
        <v>0.52272031823745413</v>
      </c>
      <c r="W15" s="167">
        <v>0</v>
      </c>
      <c r="X15" s="152">
        <f t="shared" si="6"/>
        <v>10088</v>
      </c>
      <c r="Y15" s="207">
        <f t="shared" si="1"/>
        <v>0.58241441025344953</v>
      </c>
    </row>
    <row r="16" spans="1:25" x14ac:dyDescent="0.2">
      <c r="A16" s="16">
        <v>15</v>
      </c>
      <c r="B16" s="201">
        <v>100</v>
      </c>
      <c r="C16" s="152">
        <f t="shared" si="8"/>
        <v>1752</v>
      </c>
      <c r="D16" s="202">
        <f t="shared" si="5"/>
        <v>0.33100321178915548</v>
      </c>
      <c r="E16" s="262">
        <f>Mailout!E25</f>
        <v>7537</v>
      </c>
      <c r="F16" s="263" t="e">
        <f t="shared" si="7"/>
        <v>#REF!</v>
      </c>
      <c r="Q16" s="139">
        <v>1336</v>
      </c>
      <c r="R16" s="152">
        <f>R14+Q16</f>
        <v>33630</v>
      </c>
      <c r="S16" s="202">
        <f t="shared" ref="S16:S35" si="9">R16/$Q$36</f>
        <v>0.58736202319407571</v>
      </c>
      <c r="T16" s="264">
        <v>1091</v>
      </c>
      <c r="U16" s="183">
        <f>U14+T16</f>
        <v>21590</v>
      </c>
      <c r="V16" s="208">
        <f t="shared" ref="V16:V34" si="10">U16/$T$36</f>
        <v>0.55054059567523461</v>
      </c>
      <c r="W16" s="252">
        <v>287</v>
      </c>
      <c r="X16" s="152">
        <f>X14+W16</f>
        <v>10375</v>
      </c>
      <c r="Y16" s="207">
        <f t="shared" ref="Y16:Y35" si="11">X16/$W$36</f>
        <v>0.59898389238496619</v>
      </c>
    </row>
    <row r="17" spans="1:25" x14ac:dyDescent="0.2">
      <c r="A17" s="16">
        <v>16</v>
      </c>
      <c r="B17" s="201">
        <v>256</v>
      </c>
      <c r="C17" s="152">
        <f t="shared" si="8"/>
        <v>2008</v>
      </c>
      <c r="D17" s="202">
        <f t="shared" si="5"/>
        <v>0.37936897789533347</v>
      </c>
      <c r="E17" s="262">
        <f>Mailout!E26</f>
        <v>5121</v>
      </c>
      <c r="F17" s="263" t="e">
        <f t="shared" si="7"/>
        <v>#REF!</v>
      </c>
      <c r="Q17" s="139">
        <v>1824</v>
      </c>
      <c r="R17" s="152">
        <f t="shared" ref="R17:R34" si="12">R16+Q17</f>
        <v>35454</v>
      </c>
      <c r="S17" s="202">
        <f t="shared" si="9"/>
        <v>0.61921894648595777</v>
      </c>
      <c r="T17" s="264">
        <v>1595</v>
      </c>
      <c r="U17" s="183">
        <f t="shared" ref="U17:U35" si="13">U16+T17</f>
        <v>23185</v>
      </c>
      <c r="V17" s="208">
        <f t="shared" si="10"/>
        <v>0.59121277029783759</v>
      </c>
      <c r="W17" s="252">
        <v>314</v>
      </c>
      <c r="X17" s="152">
        <f t="shared" ref="X17:X35" si="14">X16+W17</f>
        <v>10689</v>
      </c>
      <c r="Y17" s="207">
        <f t="shared" si="11"/>
        <v>0.61711217597136425</v>
      </c>
    </row>
    <row r="18" spans="1:25" x14ac:dyDescent="0.2">
      <c r="A18" s="16">
        <v>17</v>
      </c>
      <c r="B18" s="201">
        <v>180</v>
      </c>
      <c r="C18" s="152">
        <f t="shared" si="8"/>
        <v>2188</v>
      </c>
      <c r="D18" s="202">
        <f t="shared" si="5"/>
        <v>0.41337615718873982</v>
      </c>
      <c r="E18" s="262" t="e">
        <f>Mailout!#REF!</f>
        <v>#REF!</v>
      </c>
      <c r="F18" s="263" t="e">
        <f t="shared" si="7"/>
        <v>#REF!</v>
      </c>
      <c r="Q18" s="139">
        <v>664</v>
      </c>
      <c r="R18" s="152">
        <f t="shared" si="12"/>
        <v>36118</v>
      </c>
      <c r="S18" s="202">
        <f t="shared" si="9"/>
        <v>0.63081598435098507</v>
      </c>
      <c r="T18" s="264">
        <v>2206</v>
      </c>
      <c r="U18" s="183">
        <f t="shared" si="13"/>
        <v>25391</v>
      </c>
      <c r="V18" s="208">
        <f t="shared" si="10"/>
        <v>0.64746532027743775</v>
      </c>
      <c r="W18" s="252">
        <v>309</v>
      </c>
      <c r="X18" s="152">
        <f t="shared" si="14"/>
        <v>10998</v>
      </c>
      <c r="Y18" s="207">
        <f t="shared" si="11"/>
        <v>0.63495179262167312</v>
      </c>
    </row>
    <row r="19" spans="1:25" x14ac:dyDescent="0.2">
      <c r="A19" s="16">
        <v>18</v>
      </c>
      <c r="B19" s="201">
        <v>242</v>
      </c>
      <c r="C19" s="152">
        <f t="shared" si="8"/>
        <v>2430</v>
      </c>
      <c r="D19" s="202">
        <f t="shared" si="5"/>
        <v>0.45909692046098621</v>
      </c>
      <c r="E19" s="262" t="e">
        <f>Mailout!#REF!</f>
        <v>#REF!</v>
      </c>
      <c r="F19" s="263" t="e">
        <f t="shared" si="7"/>
        <v>#REF!</v>
      </c>
      <c r="Q19" s="139">
        <v>2153</v>
      </c>
      <c r="R19" s="152">
        <f t="shared" si="12"/>
        <v>38271</v>
      </c>
      <c r="S19" s="202">
        <f t="shared" si="9"/>
        <v>0.66841903031996641</v>
      </c>
      <c r="T19" s="264">
        <v>1851</v>
      </c>
      <c r="U19" s="183">
        <f t="shared" si="13"/>
        <v>27242</v>
      </c>
      <c r="V19" s="208">
        <f t="shared" si="10"/>
        <v>0.69466544267645858</v>
      </c>
      <c r="W19" s="252">
        <v>567</v>
      </c>
      <c r="X19" s="152">
        <f t="shared" si="14"/>
        <v>11565</v>
      </c>
      <c r="Y19" s="207">
        <f t="shared" si="11"/>
        <v>0.66768662317418159</v>
      </c>
    </row>
    <row r="20" spans="1:25" x14ac:dyDescent="0.2">
      <c r="A20" s="16">
        <v>19</v>
      </c>
      <c r="B20" s="201">
        <v>245</v>
      </c>
      <c r="C20" s="152">
        <f t="shared" si="8"/>
        <v>2675</v>
      </c>
      <c r="D20" s="202">
        <f t="shared" si="5"/>
        <v>0.50538447005478937</v>
      </c>
      <c r="E20" s="262" t="e">
        <f>Mailout!#REF!</f>
        <v>#REF!</v>
      </c>
      <c r="F20" s="263" t="e">
        <f t="shared" si="7"/>
        <v>#REF!</v>
      </c>
      <c r="Q20" s="139">
        <v>2497</v>
      </c>
      <c r="R20" s="152">
        <f t="shared" si="12"/>
        <v>40768</v>
      </c>
      <c r="S20" s="202">
        <f t="shared" si="9"/>
        <v>0.71203018024311859</v>
      </c>
      <c r="T20" s="264">
        <v>1558</v>
      </c>
      <c r="U20" s="183">
        <f t="shared" si="13"/>
        <v>28800</v>
      </c>
      <c r="V20" s="208">
        <f t="shared" si="10"/>
        <v>0.73439412484700117</v>
      </c>
      <c r="W20" s="252">
        <v>335</v>
      </c>
      <c r="X20" s="152">
        <f t="shared" si="14"/>
        <v>11900</v>
      </c>
      <c r="Y20" s="207">
        <f t="shared" si="11"/>
        <v>0.68702730789215405</v>
      </c>
    </row>
    <row r="21" spans="1:25" x14ac:dyDescent="0.2">
      <c r="A21" s="16">
        <v>20</v>
      </c>
      <c r="B21" s="201">
        <v>270</v>
      </c>
      <c r="C21" s="152">
        <f t="shared" si="8"/>
        <v>2945</v>
      </c>
      <c r="D21" s="202">
        <f t="shared" si="5"/>
        <v>0.55639523899489896</v>
      </c>
      <c r="E21" s="262">
        <f>Mailout!E31</f>
        <v>0</v>
      </c>
      <c r="F21" s="263" t="e">
        <f t="shared" si="7"/>
        <v>#REF!</v>
      </c>
      <c r="Q21" s="139">
        <v>1252</v>
      </c>
      <c r="R21" s="152">
        <f t="shared" si="12"/>
        <v>42020</v>
      </c>
      <c r="S21" s="202">
        <f t="shared" si="9"/>
        <v>0.73389688416934473</v>
      </c>
      <c r="T21" s="264">
        <v>1264</v>
      </c>
      <c r="U21" s="183">
        <f t="shared" si="13"/>
        <v>30064</v>
      </c>
      <c r="V21" s="208">
        <f t="shared" si="10"/>
        <v>0.76662586699306401</v>
      </c>
      <c r="W21" s="252">
        <v>400</v>
      </c>
      <c r="X21" s="152">
        <f t="shared" si="14"/>
        <v>12300</v>
      </c>
      <c r="Y21" s="207">
        <f t="shared" si="11"/>
        <v>0.71012066277928521</v>
      </c>
    </row>
    <row r="22" spans="1:25" x14ac:dyDescent="0.2">
      <c r="A22" s="16">
        <v>21</v>
      </c>
      <c r="B22" s="201">
        <v>298</v>
      </c>
      <c r="C22" s="152">
        <f t="shared" si="8"/>
        <v>3243</v>
      </c>
      <c r="D22" s="202">
        <f t="shared" si="5"/>
        <v>0.61269601360287174</v>
      </c>
      <c r="E22" s="262">
        <f>Mailout!E32</f>
        <v>5724</v>
      </c>
      <c r="F22" s="263" t="e">
        <f t="shared" si="7"/>
        <v>#REF!</v>
      </c>
      <c r="Q22" s="139">
        <v>2309</v>
      </c>
      <c r="R22" s="152">
        <f t="shared" si="12"/>
        <v>44329</v>
      </c>
      <c r="S22" s="202">
        <f t="shared" si="9"/>
        <v>0.77422453541986869</v>
      </c>
      <c r="T22" s="264">
        <v>1575</v>
      </c>
      <c r="U22" s="183">
        <f t="shared" si="13"/>
        <v>31639</v>
      </c>
      <c r="V22" s="208">
        <f t="shared" si="10"/>
        <v>0.80678804569563445</v>
      </c>
      <c r="W22" s="252">
        <v>634</v>
      </c>
      <c r="X22" s="152">
        <f t="shared" si="14"/>
        <v>12934</v>
      </c>
      <c r="Y22" s="207">
        <f t="shared" si="11"/>
        <v>0.74672363027538824</v>
      </c>
    </row>
    <row r="23" spans="1:25" x14ac:dyDescent="0.2">
      <c r="A23" s="16">
        <v>22</v>
      </c>
      <c r="B23" s="201">
        <v>283</v>
      </c>
      <c r="C23" s="152">
        <f t="shared" si="8"/>
        <v>3526</v>
      </c>
      <c r="D23" s="202">
        <f t="shared" si="5"/>
        <v>0.66616285660306063</v>
      </c>
      <c r="E23" s="262">
        <f>Mailout!E33</f>
        <v>3009</v>
      </c>
      <c r="F23" s="263" t="e">
        <f t="shared" si="7"/>
        <v>#REF!</v>
      </c>
      <c r="Q23" s="139">
        <v>996</v>
      </c>
      <c r="R23" s="152">
        <f t="shared" si="12"/>
        <v>45325</v>
      </c>
      <c r="S23" s="202">
        <f t="shared" si="9"/>
        <v>0.79162009221740948</v>
      </c>
      <c r="T23" s="264">
        <v>1588</v>
      </c>
      <c r="U23" s="183">
        <f t="shared" si="13"/>
        <v>33227</v>
      </c>
      <c r="V23" s="208">
        <f t="shared" si="10"/>
        <v>0.84728172174622607</v>
      </c>
      <c r="W23" s="252">
        <v>954</v>
      </c>
      <c r="X23" s="152">
        <f t="shared" si="14"/>
        <v>13888</v>
      </c>
      <c r="Y23" s="207">
        <f t="shared" si="11"/>
        <v>0.80180128168119624</v>
      </c>
    </row>
    <row r="24" spans="1:25" x14ac:dyDescent="0.2">
      <c r="A24" s="16">
        <v>23</v>
      </c>
      <c r="B24" s="17">
        <v>0</v>
      </c>
      <c r="C24" s="152">
        <f t="shared" si="8"/>
        <v>3526</v>
      </c>
      <c r="D24" s="202">
        <f t="shared" si="5"/>
        <v>0.66616285660306063</v>
      </c>
      <c r="E24" s="262">
        <v>0</v>
      </c>
      <c r="F24" s="263" t="e">
        <f t="shared" si="7"/>
        <v>#REF!</v>
      </c>
      <c r="Q24" s="139">
        <v>2623</v>
      </c>
      <c r="R24" s="152">
        <f t="shared" si="12"/>
        <v>47948</v>
      </c>
      <c r="S24" s="202">
        <f t="shared" si="9"/>
        <v>0.83743188486796138</v>
      </c>
      <c r="T24" s="264">
        <v>1055</v>
      </c>
      <c r="U24" s="183">
        <f t="shared" si="13"/>
        <v>34282</v>
      </c>
      <c r="V24" s="208">
        <f t="shared" si="10"/>
        <v>0.87418400652794781</v>
      </c>
      <c r="W24" s="252">
        <v>630</v>
      </c>
      <c r="X24" s="152">
        <f t="shared" si="14"/>
        <v>14518</v>
      </c>
      <c r="Y24" s="207">
        <f t="shared" si="11"/>
        <v>0.8381733156284279</v>
      </c>
    </row>
    <row r="25" spans="1:25" x14ac:dyDescent="0.2">
      <c r="A25" s="16">
        <v>24</v>
      </c>
      <c r="B25" s="201">
        <v>319</v>
      </c>
      <c r="C25" s="152">
        <f>C23+B25</f>
        <v>3845</v>
      </c>
      <c r="D25" s="202">
        <f t="shared" si="5"/>
        <v>0.72643113546193083</v>
      </c>
      <c r="E25" s="262">
        <f>Mailout!E37</f>
        <v>0</v>
      </c>
      <c r="F25" s="263" t="e">
        <f t="shared" si="7"/>
        <v>#REF!</v>
      </c>
      <c r="Q25" s="139">
        <v>2031</v>
      </c>
      <c r="R25" s="152">
        <f t="shared" si="12"/>
        <v>49979</v>
      </c>
      <c r="S25" s="202">
        <f t="shared" si="9"/>
        <v>0.87290414978342878</v>
      </c>
      <c r="T25" s="264">
        <v>1023</v>
      </c>
      <c r="U25" s="183">
        <f t="shared" si="13"/>
        <v>35305</v>
      </c>
      <c r="V25" s="208">
        <f t="shared" si="10"/>
        <v>0.90027029783761725</v>
      </c>
      <c r="W25" s="252">
        <v>394</v>
      </c>
      <c r="X25" s="152">
        <f t="shared" si="14"/>
        <v>14912</v>
      </c>
      <c r="Y25" s="207">
        <f t="shared" si="11"/>
        <v>0.86092027019225215</v>
      </c>
    </row>
    <row r="26" spans="1:25" x14ac:dyDescent="0.2">
      <c r="A26" s="16">
        <v>25</v>
      </c>
      <c r="B26" s="201">
        <v>178</v>
      </c>
      <c r="C26" s="152">
        <f t="shared" ref="C26:C32" si="15">C25+B26</f>
        <v>4023</v>
      </c>
      <c r="D26" s="202">
        <f t="shared" si="5"/>
        <v>0.76006045720763271</v>
      </c>
      <c r="E26" s="262">
        <f>Mailout!E38</f>
        <v>4678</v>
      </c>
      <c r="F26" s="263" t="e">
        <f t="shared" si="7"/>
        <v>#REF!</v>
      </c>
      <c r="Q26" s="139">
        <v>1803</v>
      </c>
      <c r="R26" s="152">
        <f t="shared" si="12"/>
        <v>51782</v>
      </c>
      <c r="S26" s="202">
        <f t="shared" si="9"/>
        <v>0.90439429928741089</v>
      </c>
      <c r="T26" s="264">
        <v>367</v>
      </c>
      <c r="U26" s="183">
        <f t="shared" si="13"/>
        <v>35672</v>
      </c>
      <c r="V26" s="208">
        <f t="shared" si="10"/>
        <v>0.90962872297021624</v>
      </c>
      <c r="W26" s="252">
        <v>552</v>
      </c>
      <c r="X26" s="152">
        <f t="shared" si="14"/>
        <v>15464</v>
      </c>
      <c r="Y26" s="207">
        <f t="shared" si="11"/>
        <v>0.89278909993649325</v>
      </c>
    </row>
    <row r="27" spans="1:25" x14ac:dyDescent="0.2">
      <c r="A27" s="16">
        <v>26</v>
      </c>
      <c r="B27" s="201">
        <v>164</v>
      </c>
      <c r="C27" s="152">
        <f t="shared" si="15"/>
        <v>4187</v>
      </c>
      <c r="D27" s="202">
        <f t="shared" si="5"/>
        <v>0.79104477611940294</v>
      </c>
      <c r="E27" s="262">
        <f>Mailout!E39</f>
        <v>3144</v>
      </c>
      <c r="F27" s="263" t="e">
        <f t="shared" si="7"/>
        <v>#REF!</v>
      </c>
      <c r="Q27" s="139">
        <v>1318</v>
      </c>
      <c r="R27" s="152">
        <f t="shared" si="12"/>
        <v>53100</v>
      </c>
      <c r="S27" s="202">
        <f t="shared" si="9"/>
        <v>0.9274137208327512</v>
      </c>
      <c r="T27" s="264">
        <v>920</v>
      </c>
      <c r="U27" s="183">
        <f t="shared" si="13"/>
        <v>36592</v>
      </c>
      <c r="V27" s="208">
        <f t="shared" si="10"/>
        <v>0.93308853529171765</v>
      </c>
      <c r="W27" s="252">
        <v>210</v>
      </c>
      <c r="X27" s="152">
        <f t="shared" si="14"/>
        <v>15674</v>
      </c>
      <c r="Y27" s="207">
        <f t="shared" si="11"/>
        <v>0.90491311125223717</v>
      </c>
    </row>
    <row r="28" spans="1:25" x14ac:dyDescent="0.2">
      <c r="A28" s="16">
        <v>27</v>
      </c>
      <c r="B28" s="201">
        <v>162</v>
      </c>
      <c r="C28" s="152">
        <f t="shared" si="15"/>
        <v>4349</v>
      </c>
      <c r="D28" s="202">
        <f t="shared" si="5"/>
        <v>0.82165123748346869</v>
      </c>
      <c r="E28" s="262">
        <f>Mailout!E40</f>
        <v>2786</v>
      </c>
      <c r="F28" s="263" t="e">
        <f t="shared" si="7"/>
        <v>#REF!</v>
      </c>
      <c r="Q28" s="139">
        <v>730</v>
      </c>
      <c r="R28" s="152">
        <f t="shared" si="12"/>
        <v>53830</v>
      </c>
      <c r="S28" s="202">
        <f t="shared" si="9"/>
        <v>0.94016347631689257</v>
      </c>
      <c r="T28" s="264">
        <v>148</v>
      </c>
      <c r="U28" s="183">
        <f t="shared" si="13"/>
        <v>36740</v>
      </c>
      <c r="V28" s="208">
        <f t="shared" si="10"/>
        <v>0.93686250509995916</v>
      </c>
      <c r="W28" s="252">
        <v>344</v>
      </c>
      <c r="X28" s="152">
        <f t="shared" si="14"/>
        <v>16018</v>
      </c>
      <c r="Y28" s="207">
        <f t="shared" si="11"/>
        <v>0.92477339645516998</v>
      </c>
    </row>
    <row r="29" spans="1:25" x14ac:dyDescent="0.2">
      <c r="A29" s="16">
        <v>28</v>
      </c>
      <c r="B29" s="201">
        <v>287</v>
      </c>
      <c r="C29" s="152">
        <f t="shared" si="15"/>
        <v>4636</v>
      </c>
      <c r="D29" s="202">
        <f t="shared" si="5"/>
        <v>0.87587379557906664</v>
      </c>
      <c r="E29" s="262" t="e">
        <f>Mailout!#REF!+Mailout!E41</f>
        <v>#REF!</v>
      </c>
      <c r="F29" s="263" t="e">
        <f t="shared" si="7"/>
        <v>#REF!</v>
      </c>
      <c r="Q29" s="139">
        <v>1347</v>
      </c>
      <c r="R29" s="152">
        <f t="shared" si="12"/>
        <v>55177</v>
      </c>
      <c r="S29" s="202">
        <f t="shared" si="9"/>
        <v>0.96368939499790418</v>
      </c>
      <c r="T29" s="264">
        <v>734</v>
      </c>
      <c r="U29" s="183">
        <f t="shared" si="13"/>
        <v>37474</v>
      </c>
      <c r="V29" s="208">
        <f t="shared" si="10"/>
        <v>0.95557935536515703</v>
      </c>
      <c r="W29" s="252">
        <v>306</v>
      </c>
      <c r="X29" s="152">
        <f t="shared" si="14"/>
        <v>16324</v>
      </c>
      <c r="Y29" s="207">
        <f t="shared" si="11"/>
        <v>0.94243981294382539</v>
      </c>
    </row>
    <row r="30" spans="1:25" x14ac:dyDescent="0.2">
      <c r="A30" s="16">
        <v>29</v>
      </c>
      <c r="B30" s="201">
        <v>282</v>
      </c>
      <c r="C30" s="152">
        <f t="shared" si="15"/>
        <v>4918</v>
      </c>
      <c r="D30" s="202">
        <f t="shared" si="5"/>
        <v>0.9291517098054034</v>
      </c>
      <c r="E30" s="262">
        <f>Mailout!E44+Mailout!E43</f>
        <v>2273</v>
      </c>
      <c r="F30" s="263" t="e">
        <f t="shared" si="7"/>
        <v>#REF!</v>
      </c>
      <c r="Q30" s="139">
        <v>1941</v>
      </c>
      <c r="R30" s="152">
        <f t="shared" si="12"/>
        <v>57118</v>
      </c>
      <c r="S30" s="202">
        <f t="shared" si="9"/>
        <v>0.99758977225094314</v>
      </c>
      <c r="T30" s="264">
        <v>1341</v>
      </c>
      <c r="U30" s="183">
        <f t="shared" si="13"/>
        <v>38815</v>
      </c>
      <c r="V30" s="208">
        <f t="shared" si="10"/>
        <v>0.98977458180334554</v>
      </c>
      <c r="W30" s="252">
        <v>314</v>
      </c>
      <c r="X30" s="152">
        <f t="shared" si="14"/>
        <v>16638</v>
      </c>
      <c r="Y30" s="207">
        <f t="shared" si="11"/>
        <v>0.96056809653022346</v>
      </c>
    </row>
    <row r="31" spans="1:25" x14ac:dyDescent="0.2">
      <c r="A31" s="16">
        <v>30</v>
      </c>
      <c r="B31" s="201">
        <v>283</v>
      </c>
      <c r="C31" s="152">
        <f t="shared" si="15"/>
        <v>5201</v>
      </c>
      <c r="D31" s="202">
        <f t="shared" si="5"/>
        <v>0.98261855280559229</v>
      </c>
      <c r="E31" s="262">
        <f>Mailout!E47+Mailout!E45</f>
        <v>1783</v>
      </c>
      <c r="F31" s="263" t="e">
        <f>E31+F30</f>
        <v>#REF!</v>
      </c>
      <c r="I31" s="1" t="s">
        <v>13</v>
      </c>
      <c r="Q31" s="139">
        <v>97</v>
      </c>
      <c r="R31" s="152">
        <f t="shared" si="12"/>
        <v>57215</v>
      </c>
      <c r="S31" s="202">
        <f t="shared" si="9"/>
        <v>0.99928391784267157</v>
      </c>
      <c r="T31" s="264">
        <v>389</v>
      </c>
      <c r="U31" s="183">
        <f t="shared" si="13"/>
        <v>39204</v>
      </c>
      <c r="V31" s="208">
        <f t="shared" si="10"/>
        <v>0.99969400244798046</v>
      </c>
      <c r="W31" s="252">
        <v>679</v>
      </c>
      <c r="X31" s="152">
        <f t="shared" si="14"/>
        <v>17317</v>
      </c>
      <c r="Y31" s="207">
        <f t="shared" si="11"/>
        <v>0.99976906645112873</v>
      </c>
    </row>
    <row r="32" spans="1:25" x14ac:dyDescent="0.2">
      <c r="A32" s="16">
        <v>31</v>
      </c>
      <c r="B32" s="272">
        <v>92</v>
      </c>
      <c r="C32" s="273">
        <f t="shared" si="15"/>
        <v>5293</v>
      </c>
      <c r="D32" s="202">
        <f t="shared" si="5"/>
        <v>1</v>
      </c>
      <c r="E32" s="262">
        <v>2</v>
      </c>
      <c r="F32" s="263" t="e">
        <f>E32+F31</f>
        <v>#REF!</v>
      </c>
      <c r="Q32" s="139">
        <v>18</v>
      </c>
      <c r="R32" s="152">
        <f t="shared" si="12"/>
        <v>57233</v>
      </c>
      <c r="S32" s="202">
        <f t="shared" si="9"/>
        <v>0.99959829537515721</v>
      </c>
      <c r="T32" s="264">
        <v>3</v>
      </c>
      <c r="U32" s="183">
        <f t="shared" si="13"/>
        <v>39207</v>
      </c>
      <c r="V32" s="208">
        <f t="shared" si="10"/>
        <v>0.99977050183598526</v>
      </c>
      <c r="W32" s="252">
        <v>2</v>
      </c>
      <c r="X32" s="152">
        <f t="shared" si="14"/>
        <v>17319</v>
      </c>
      <c r="Y32" s="207">
        <f t="shared" si="11"/>
        <v>0.99988453322556436</v>
      </c>
    </row>
    <row r="33" spans="1:25" x14ac:dyDescent="0.2">
      <c r="A33" s="16">
        <v>32</v>
      </c>
      <c r="B33" s="274">
        <v>0</v>
      </c>
      <c r="C33" s="290">
        <v>5293</v>
      </c>
      <c r="D33" s="202">
        <f t="shared" si="5"/>
        <v>1</v>
      </c>
      <c r="E33" s="306">
        <f>Mailout!E47</f>
        <v>490</v>
      </c>
      <c r="F33" s="263" t="e">
        <f>E33+F32</f>
        <v>#REF!</v>
      </c>
      <c r="Q33" s="139">
        <v>19</v>
      </c>
      <c r="R33" s="152">
        <f t="shared" si="12"/>
        <v>57252</v>
      </c>
      <c r="S33" s="202">
        <f t="shared" si="9"/>
        <v>0.99993013832611433</v>
      </c>
      <c r="T33" s="264">
        <v>6</v>
      </c>
      <c r="U33" s="183">
        <f t="shared" si="13"/>
        <v>39213</v>
      </c>
      <c r="V33" s="208">
        <f t="shared" si="10"/>
        <v>0.99992350061199509</v>
      </c>
      <c r="W33" s="285">
        <v>2</v>
      </c>
      <c r="X33" s="273">
        <f t="shared" si="14"/>
        <v>17321</v>
      </c>
      <c r="Y33" s="287">
        <f t="shared" si="11"/>
        <v>1</v>
      </c>
    </row>
    <row r="34" spans="1:25" x14ac:dyDescent="0.2">
      <c r="A34" s="16">
        <v>33</v>
      </c>
      <c r="B34" s="277">
        <v>0</v>
      </c>
      <c r="C34" s="280">
        <v>5293</v>
      </c>
      <c r="D34" s="304">
        <f t="shared" si="5"/>
        <v>1</v>
      </c>
      <c r="E34" s="307">
        <v>0</v>
      </c>
      <c r="F34" s="263" t="e">
        <f>E34+F33</f>
        <v>#REF!</v>
      </c>
      <c r="Q34" s="276">
        <v>4</v>
      </c>
      <c r="R34" s="270">
        <f t="shared" si="12"/>
        <v>57256</v>
      </c>
      <c r="S34" s="271">
        <f t="shared" si="9"/>
        <v>1</v>
      </c>
      <c r="T34" s="264">
        <v>2</v>
      </c>
      <c r="U34" s="183">
        <f t="shared" si="13"/>
        <v>39215</v>
      </c>
      <c r="V34" s="208">
        <f t="shared" si="10"/>
        <v>0.99997450020399836</v>
      </c>
      <c r="W34" s="286">
        <v>0</v>
      </c>
      <c r="X34" s="273">
        <f t="shared" si="14"/>
        <v>17321</v>
      </c>
      <c r="Y34" s="287">
        <f t="shared" si="11"/>
        <v>1</v>
      </c>
    </row>
    <row r="35" spans="1:25" ht="15" thickBot="1" x14ac:dyDescent="0.25">
      <c r="A35" s="16">
        <v>33</v>
      </c>
      <c r="B35" s="278">
        <v>0</v>
      </c>
      <c r="C35" s="291">
        <v>5293</v>
      </c>
      <c r="D35" s="305">
        <f t="shared" si="5"/>
        <v>1</v>
      </c>
      <c r="E35" s="308" t="e">
        <f>Mailout!#REF!</f>
        <v>#REF!</v>
      </c>
      <c r="F35" s="309" t="e">
        <f>E35+F34</f>
        <v>#REF!</v>
      </c>
      <c r="Q35" s="275">
        <v>0</v>
      </c>
      <c r="R35" s="281">
        <v>57256</v>
      </c>
      <c r="S35" s="279">
        <f t="shared" si="9"/>
        <v>1</v>
      </c>
      <c r="T35" s="265">
        <v>1</v>
      </c>
      <c r="U35" s="186">
        <f t="shared" si="13"/>
        <v>39216</v>
      </c>
      <c r="V35" s="209">
        <f>U35/T36</f>
        <v>1</v>
      </c>
      <c r="W35" s="286">
        <v>0</v>
      </c>
      <c r="X35" s="288">
        <f t="shared" si="14"/>
        <v>17321</v>
      </c>
      <c r="Y35" s="289">
        <f t="shared" si="11"/>
        <v>1</v>
      </c>
    </row>
    <row r="36" spans="1:25" x14ac:dyDescent="0.2">
      <c r="B36" s="24">
        <f>SUM(B3:B35)</f>
        <v>5293</v>
      </c>
      <c r="C36" s="23"/>
      <c r="D36" s="23"/>
      <c r="E36" s="310" t="e">
        <f>SUM(E3:E35)</f>
        <v>#REF!</v>
      </c>
      <c r="F36" s="18"/>
      <c r="G36" s="19"/>
      <c r="H36" s="19"/>
      <c r="I36" s="19"/>
      <c r="Q36" s="24">
        <f>SUM(Q3:Q35)</f>
        <v>57256</v>
      </c>
      <c r="R36" s="27"/>
      <c r="S36" s="28"/>
      <c r="T36" s="29">
        <f>SUM(T3:T35)</f>
        <v>39216</v>
      </c>
      <c r="U36" s="30"/>
      <c r="V36" s="25"/>
      <c r="W36" s="31">
        <f>SUM(W3:W35)</f>
        <v>17321</v>
      </c>
      <c r="X36" s="32"/>
      <c r="Y36" s="32"/>
    </row>
    <row r="37" spans="1:25" x14ac:dyDescent="0.2">
      <c r="B37" s="19"/>
      <c r="C37" s="18" t="s">
        <v>13</v>
      </c>
      <c r="D37" s="18"/>
      <c r="E37" s="18"/>
      <c r="F37" s="18"/>
      <c r="G37" s="19"/>
      <c r="H37" s="19"/>
      <c r="I37" s="19"/>
      <c r="U37" s="21"/>
      <c r="V37" s="21"/>
    </row>
    <row r="38" spans="1:25" x14ac:dyDescent="0.2">
      <c r="B38" s="19"/>
      <c r="C38" s="18"/>
      <c r="D38" s="18"/>
      <c r="E38" s="18"/>
      <c r="F38" s="18"/>
      <c r="G38" s="19"/>
      <c r="H38" s="19"/>
      <c r="I38" s="19"/>
      <c r="U38" s="18"/>
    </row>
    <row r="39" spans="1:25" x14ac:dyDescent="0.2">
      <c r="B39" s="19"/>
      <c r="C39" s="18"/>
      <c r="D39" s="18"/>
      <c r="E39" s="18"/>
      <c r="F39" s="18"/>
      <c r="G39" s="19"/>
      <c r="H39" s="19"/>
      <c r="I39" s="19"/>
      <c r="U39" s="18"/>
    </row>
    <row r="40" spans="1:25" x14ac:dyDescent="0.2">
      <c r="B40" s="22"/>
      <c r="C40" s="18"/>
      <c r="D40" s="18"/>
      <c r="E40" s="18"/>
      <c r="F40" s="18"/>
      <c r="G40" s="19"/>
      <c r="H40" s="19"/>
      <c r="I40" s="19"/>
      <c r="U40" s="18"/>
    </row>
    <row r="41" spans="1:25" x14ac:dyDescent="0.2">
      <c r="B41" s="22"/>
      <c r="C41" s="18"/>
      <c r="D41" s="18"/>
      <c r="E41" s="18"/>
      <c r="F41" s="18"/>
      <c r="G41" s="19"/>
      <c r="H41" s="19"/>
      <c r="I41" s="19"/>
      <c r="U41" s="18"/>
    </row>
    <row r="42" spans="1:25" x14ac:dyDescent="0.2">
      <c r="B42" s="19"/>
      <c r="C42" s="18"/>
      <c r="D42" s="18"/>
      <c r="E42" s="18"/>
      <c r="F42" s="18"/>
      <c r="G42" s="19"/>
      <c r="H42" s="19"/>
      <c r="I42" s="19"/>
      <c r="U42" s="18"/>
    </row>
    <row r="43" spans="1:25" x14ac:dyDescent="0.2">
      <c r="B43" s="19"/>
      <c r="C43" s="18"/>
      <c r="D43" s="18"/>
      <c r="E43" s="18"/>
      <c r="F43" s="18"/>
      <c r="G43" s="19"/>
      <c r="H43" s="19"/>
      <c r="I43" s="19"/>
      <c r="U43" s="18"/>
    </row>
    <row r="44" spans="1:25" x14ac:dyDescent="0.2">
      <c r="B44" s="19"/>
      <c r="C44" s="18"/>
      <c r="D44" s="18"/>
      <c r="E44" s="19"/>
      <c r="F44" s="18"/>
      <c r="G44" s="19"/>
      <c r="H44" s="19"/>
      <c r="I44" s="19"/>
      <c r="U44" s="18"/>
    </row>
    <row r="45" spans="1:25" x14ac:dyDescent="0.2">
      <c r="A45" s="19"/>
      <c r="B45" s="19"/>
      <c r="C45" s="18"/>
      <c r="D45" s="18"/>
      <c r="E45" s="19"/>
      <c r="F45" s="18"/>
      <c r="G45" s="19"/>
      <c r="H45" s="19"/>
      <c r="I45" s="19"/>
      <c r="U45" s="18"/>
    </row>
    <row r="46" spans="1:25" x14ac:dyDescent="0.2">
      <c r="B46" s="19"/>
      <c r="C46" s="18"/>
      <c r="D46" s="18"/>
      <c r="E46" s="19"/>
      <c r="F46" s="18"/>
      <c r="G46" s="19"/>
      <c r="H46" s="19"/>
      <c r="I46" s="19"/>
      <c r="U46" s="18"/>
    </row>
    <row r="47" spans="1:25" x14ac:dyDescent="0.2">
      <c r="U47" s="18"/>
    </row>
    <row r="48" spans="1:25" x14ac:dyDescent="0.2">
      <c r="R48" s="18"/>
      <c r="S48" s="18"/>
    </row>
    <row r="49" spans="18:19" x14ac:dyDescent="0.2">
      <c r="R49" s="18"/>
      <c r="S49" s="18"/>
    </row>
    <row r="50" spans="18:19" x14ac:dyDescent="0.2">
      <c r="R50" s="18"/>
      <c r="S50" s="18"/>
    </row>
  </sheetData>
  <mergeCells count="1">
    <mergeCell ref="A1:Y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1415A-B975-4C56-80EF-F9B81676903F}">
  <dimension ref="A1:X49"/>
  <sheetViews>
    <sheetView showGridLines="0" zoomScale="115" zoomScaleNormal="115" workbookViewId="0">
      <pane ySplit="2" topLeftCell="A18" activePane="bottomLeft" state="frozen"/>
      <selection activeCell="W3" sqref="W3"/>
      <selection pane="bottomLeft" activeCell="W3" sqref="W3"/>
    </sheetView>
  </sheetViews>
  <sheetFormatPr defaultRowHeight="12.75" x14ac:dyDescent="0.2"/>
  <cols>
    <col min="1" max="1" width="10" style="35" customWidth="1"/>
    <col min="2" max="2" width="10.375" style="21" customWidth="1"/>
    <col min="3" max="3" width="8.875" style="21" customWidth="1"/>
    <col min="4" max="4" width="9.25" style="21" customWidth="1"/>
    <col min="5" max="5" width="9.875" style="21" customWidth="1"/>
    <col min="6" max="6" width="2.125" style="21" customWidth="1"/>
    <col min="7" max="14" width="9" style="21"/>
    <col min="15" max="15" width="1.875" style="21" customWidth="1"/>
    <col min="16" max="16" width="9" style="21" customWidth="1"/>
    <col min="17" max="17" width="8.625" style="21" customWidth="1"/>
    <col min="18" max="18" width="9.625" style="21" customWidth="1"/>
    <col min="19" max="19" width="8.875" style="21" customWidth="1"/>
    <col min="20" max="20" width="8.25" style="21" customWidth="1"/>
    <col min="21" max="21" width="8.625" style="21" customWidth="1"/>
    <col min="22" max="16384" width="9" style="21"/>
  </cols>
  <sheetData>
    <row r="1" spans="1:24" ht="52.5" customHeight="1" thickBot="1" x14ac:dyDescent="0.25">
      <c r="A1" s="847" t="s">
        <v>43</v>
      </c>
      <c r="B1" s="847"/>
      <c r="C1" s="847"/>
      <c r="D1" s="847"/>
      <c r="E1" s="847"/>
      <c r="F1" s="847"/>
      <c r="G1" s="847"/>
      <c r="H1" s="847"/>
      <c r="I1" s="847"/>
      <c r="J1" s="847"/>
      <c r="K1" s="847"/>
      <c r="L1" s="847"/>
      <c r="M1" s="847"/>
      <c r="N1" s="847"/>
      <c r="O1" s="847"/>
      <c r="P1" s="847"/>
      <c r="Q1" s="847"/>
      <c r="R1" s="847"/>
      <c r="S1" s="847"/>
      <c r="T1" s="847"/>
      <c r="U1" s="847"/>
      <c r="V1" s="847"/>
      <c r="W1" s="847"/>
      <c r="X1" s="847"/>
    </row>
    <row r="2" spans="1:24" ht="61.5" customHeight="1" thickBot="1" x14ac:dyDescent="0.25">
      <c r="A2" s="42" t="s">
        <v>34</v>
      </c>
      <c r="B2" s="43" t="s">
        <v>41</v>
      </c>
      <c r="C2" s="44" t="s">
        <v>25</v>
      </c>
      <c r="D2" s="33" t="s">
        <v>35</v>
      </c>
      <c r="E2" s="34" t="s">
        <v>40</v>
      </c>
      <c r="P2" s="45" t="s">
        <v>26</v>
      </c>
      <c r="Q2" s="45" t="s">
        <v>31</v>
      </c>
      <c r="R2" s="45" t="s">
        <v>25</v>
      </c>
      <c r="S2" s="46" t="s">
        <v>27</v>
      </c>
      <c r="T2" s="47" t="s">
        <v>32</v>
      </c>
      <c r="U2" s="48" t="s">
        <v>15</v>
      </c>
      <c r="V2" s="49" t="s">
        <v>28</v>
      </c>
      <c r="W2" s="50" t="s">
        <v>36</v>
      </c>
      <c r="X2" s="51" t="s">
        <v>24</v>
      </c>
    </row>
    <row r="3" spans="1:24" x14ac:dyDescent="0.2">
      <c r="A3" s="193"/>
      <c r="B3" s="169"/>
      <c r="C3" s="168"/>
      <c r="D3" s="194"/>
      <c r="E3" s="195"/>
      <c r="P3" s="168">
        <v>3</v>
      </c>
      <c r="Q3" s="169">
        <f>P3</f>
        <v>3</v>
      </c>
      <c r="R3" s="170">
        <f>Q3/$P$40</f>
        <v>6.7368799263434458E-5</v>
      </c>
      <c r="S3" s="171"/>
      <c r="T3" s="169"/>
      <c r="U3" s="172"/>
      <c r="V3" s="173"/>
      <c r="W3" s="169"/>
      <c r="X3" s="169"/>
    </row>
    <row r="4" spans="1:24" x14ac:dyDescent="0.2">
      <c r="A4" s="196"/>
      <c r="B4" s="175"/>
      <c r="C4" s="174"/>
      <c r="D4" s="197"/>
      <c r="E4" s="198"/>
      <c r="P4" s="174">
        <v>0</v>
      </c>
      <c r="Q4" s="175">
        <f>Q3+P4</f>
        <v>3</v>
      </c>
      <c r="R4" s="176">
        <f t="shared" ref="R4:R39" si="0">Q4/$P$40</f>
        <v>6.7368799263434458E-5</v>
      </c>
      <c r="S4" s="177"/>
      <c r="T4" s="175"/>
      <c r="U4" s="178"/>
      <c r="V4" s="179"/>
      <c r="W4" s="175"/>
      <c r="X4" s="175"/>
    </row>
    <row r="5" spans="1:24" x14ac:dyDescent="0.2">
      <c r="A5" s="196"/>
      <c r="B5" s="175"/>
      <c r="C5" s="199"/>
      <c r="D5" s="197"/>
      <c r="E5" s="198"/>
      <c r="P5" s="174">
        <v>37</v>
      </c>
      <c r="Q5" s="175">
        <f t="shared" ref="Q5:Q39" si="1">Q4+P5</f>
        <v>40</v>
      </c>
      <c r="R5" s="176">
        <f t="shared" si="0"/>
        <v>8.9825065684579278E-4</v>
      </c>
      <c r="S5" s="177"/>
      <c r="T5" s="175"/>
      <c r="U5" s="178"/>
      <c r="V5" s="179"/>
      <c r="W5" s="175"/>
      <c r="X5" s="175"/>
    </row>
    <row r="6" spans="1:24" x14ac:dyDescent="0.2">
      <c r="A6" s="196"/>
      <c r="B6" s="175"/>
      <c r="C6" s="199"/>
      <c r="D6" s="197"/>
      <c r="E6" s="198"/>
      <c r="P6" s="174">
        <v>441</v>
      </c>
      <c r="Q6" s="175">
        <f t="shared" si="1"/>
        <v>481</v>
      </c>
      <c r="R6" s="176">
        <f t="shared" si="0"/>
        <v>1.0801464148570659E-2</v>
      </c>
      <c r="S6" s="180">
        <v>218</v>
      </c>
      <c r="T6" s="175">
        <f>S6</f>
        <v>218</v>
      </c>
      <c r="U6" s="181">
        <f t="shared" ref="U6:U39" si="2">T6/$S$40</f>
        <v>7.1807371784314376E-3</v>
      </c>
      <c r="V6" s="177">
        <v>0</v>
      </c>
      <c r="W6" s="175">
        <f>V6</f>
        <v>0</v>
      </c>
      <c r="X6" s="182">
        <f t="shared" ref="X6:X39" si="3">W6/$V$40</f>
        <v>0</v>
      </c>
    </row>
    <row r="7" spans="1:24" x14ac:dyDescent="0.2">
      <c r="A7" s="196"/>
      <c r="B7" s="175"/>
      <c r="C7" s="174"/>
      <c r="D7" s="197"/>
      <c r="E7" s="198"/>
      <c r="P7" s="174">
        <v>459</v>
      </c>
      <c r="Q7" s="175">
        <f t="shared" si="1"/>
        <v>940</v>
      </c>
      <c r="R7" s="176">
        <f t="shared" si="0"/>
        <v>2.1108890435876132E-2</v>
      </c>
      <c r="S7" s="180">
        <v>113</v>
      </c>
      <c r="T7" s="175">
        <f t="shared" ref="T7:T15" si="4">T6+S7</f>
        <v>331</v>
      </c>
      <c r="U7" s="181">
        <f t="shared" si="2"/>
        <v>1.0902862413122962E-2</v>
      </c>
      <c r="V7" s="177">
        <v>0</v>
      </c>
      <c r="W7" s="175">
        <f>W6+V7</f>
        <v>0</v>
      </c>
      <c r="X7" s="182">
        <f t="shared" si="3"/>
        <v>0</v>
      </c>
    </row>
    <row r="8" spans="1:24" x14ac:dyDescent="0.2">
      <c r="A8" s="196"/>
      <c r="B8" s="175"/>
      <c r="C8" s="174"/>
      <c r="D8" s="197"/>
      <c r="E8" s="198"/>
      <c r="P8" s="174">
        <v>10</v>
      </c>
      <c r="Q8" s="175">
        <f t="shared" si="1"/>
        <v>950</v>
      </c>
      <c r="R8" s="176">
        <f t="shared" si="0"/>
        <v>2.1333453100087579E-2</v>
      </c>
      <c r="S8" s="180">
        <v>265</v>
      </c>
      <c r="T8" s="175">
        <f t="shared" si="4"/>
        <v>596</v>
      </c>
      <c r="U8" s="181">
        <f t="shared" si="2"/>
        <v>1.9631740175895123E-2</v>
      </c>
      <c r="V8" s="177">
        <v>24</v>
      </c>
      <c r="W8" s="175">
        <f t="shared" ref="W8:W39" si="5">W7+V8</f>
        <v>24</v>
      </c>
      <c r="X8" s="182">
        <f t="shared" si="3"/>
        <v>2.5439898240407037E-3</v>
      </c>
    </row>
    <row r="9" spans="1:24" x14ac:dyDescent="0.2">
      <c r="A9" s="196"/>
      <c r="B9" s="175"/>
      <c r="C9" s="174"/>
      <c r="D9" s="197" t="e">
        <f>'Return by Mail'!#REF!</f>
        <v>#REF!</v>
      </c>
      <c r="E9" s="198" t="e">
        <f>D9</f>
        <v>#REF!</v>
      </c>
      <c r="P9" s="174">
        <v>632</v>
      </c>
      <c r="Q9" s="175">
        <f t="shared" si="1"/>
        <v>1582</v>
      </c>
      <c r="R9" s="176">
        <f t="shared" si="0"/>
        <v>3.5525813478251109E-2</v>
      </c>
      <c r="S9" s="180">
        <v>304</v>
      </c>
      <c r="T9" s="175">
        <f t="shared" si="4"/>
        <v>900</v>
      </c>
      <c r="U9" s="181">
        <f t="shared" si="2"/>
        <v>2.9645245232056392E-2</v>
      </c>
      <c r="V9" s="177">
        <v>4</v>
      </c>
      <c r="W9" s="175">
        <f t="shared" si="5"/>
        <v>28</v>
      </c>
      <c r="X9" s="182">
        <f t="shared" si="3"/>
        <v>2.9679881280474879E-3</v>
      </c>
    </row>
    <row r="10" spans="1:24" x14ac:dyDescent="0.2">
      <c r="A10" s="196"/>
      <c r="B10" s="175"/>
      <c r="C10" s="174"/>
      <c r="D10" s="197" t="e">
        <f>'Return by Mail'!#REF!</f>
        <v>#REF!</v>
      </c>
      <c r="E10" s="198" t="e">
        <f>D10+E9</f>
        <v>#REF!</v>
      </c>
      <c r="P10" s="175">
        <v>744</v>
      </c>
      <c r="Q10" s="175">
        <f t="shared" si="1"/>
        <v>2326</v>
      </c>
      <c r="R10" s="176">
        <f t="shared" si="0"/>
        <v>5.2233275695582851E-2</v>
      </c>
      <c r="S10" s="180">
        <v>287</v>
      </c>
      <c r="T10" s="175">
        <f t="shared" si="4"/>
        <v>1187</v>
      </c>
      <c r="U10" s="181">
        <f t="shared" si="2"/>
        <v>3.9098784544945489E-2</v>
      </c>
      <c r="V10" s="177">
        <v>59</v>
      </c>
      <c r="W10" s="175">
        <f t="shared" si="5"/>
        <v>87</v>
      </c>
      <c r="X10" s="182">
        <f t="shared" si="3"/>
        <v>9.2219631121475514E-3</v>
      </c>
    </row>
    <row r="11" spans="1:24" x14ac:dyDescent="0.2">
      <c r="A11" s="196"/>
      <c r="B11" s="175"/>
      <c r="C11" s="174"/>
      <c r="D11" s="197" t="e">
        <f>'Return by Mail'!#REF!</f>
        <v>#REF!</v>
      </c>
      <c r="E11" s="198" t="e">
        <f>D11+E10</f>
        <v>#REF!</v>
      </c>
      <c r="P11" s="174">
        <v>864</v>
      </c>
      <c r="Q11" s="175">
        <f t="shared" si="1"/>
        <v>3190</v>
      </c>
      <c r="R11" s="176">
        <f t="shared" si="0"/>
        <v>7.1635489883451975E-2</v>
      </c>
      <c r="S11" s="180">
        <v>221</v>
      </c>
      <c r="T11" s="175">
        <f t="shared" si="4"/>
        <v>1408</v>
      </c>
      <c r="U11" s="181">
        <f t="shared" si="2"/>
        <v>4.6378339207483778E-2</v>
      </c>
      <c r="V11" s="177">
        <v>61</v>
      </c>
      <c r="W11" s="175">
        <f t="shared" si="5"/>
        <v>148</v>
      </c>
      <c r="X11" s="182">
        <f t="shared" si="3"/>
        <v>1.5687937248251006E-2</v>
      </c>
    </row>
    <row r="12" spans="1:24" x14ac:dyDescent="0.2">
      <c r="A12" s="196">
        <v>1</v>
      </c>
      <c r="B12" s="175">
        <f>A12</f>
        <v>1</v>
      </c>
      <c r="C12" s="199">
        <f t="shared" ref="C12:C39" si="6">B12/$A$40</f>
        <v>3.1055900621118014E-4</v>
      </c>
      <c r="D12" s="197" t="e">
        <f>'Return by Mail'!#REF!</f>
        <v>#REF!</v>
      </c>
      <c r="E12" s="198" t="e">
        <f>D12+E11</f>
        <v>#REF!</v>
      </c>
      <c r="P12" s="174">
        <v>603</v>
      </c>
      <c r="Q12" s="175">
        <f t="shared" si="1"/>
        <v>3793</v>
      </c>
      <c r="R12" s="176">
        <f t="shared" si="0"/>
        <v>8.5176618535402301E-2</v>
      </c>
      <c r="S12" s="180">
        <v>529</v>
      </c>
      <c r="T12" s="175">
        <f t="shared" si="4"/>
        <v>1937</v>
      </c>
      <c r="U12" s="181">
        <f t="shared" si="2"/>
        <v>6.3803155571659151E-2</v>
      </c>
      <c r="V12" s="177">
        <v>70</v>
      </c>
      <c r="W12" s="175">
        <f t="shared" si="5"/>
        <v>218</v>
      </c>
      <c r="X12" s="182">
        <f t="shared" si="3"/>
        <v>2.3107907568369727E-2</v>
      </c>
    </row>
    <row r="13" spans="1:24" x14ac:dyDescent="0.2">
      <c r="A13" s="196">
        <v>19</v>
      </c>
      <c r="B13" s="175">
        <f t="shared" ref="B13:B39" si="7">A13+B12</f>
        <v>20</v>
      </c>
      <c r="C13" s="199">
        <f t="shared" si="6"/>
        <v>6.2111801242236021E-3</v>
      </c>
      <c r="D13" s="197">
        <f>'Return by Mail'!F13</f>
        <v>4225</v>
      </c>
      <c r="E13" s="198" t="e">
        <f>D13+E12</f>
        <v>#REF!</v>
      </c>
      <c r="P13" s="174">
        <v>608</v>
      </c>
      <c r="Q13" s="175">
        <f t="shared" si="1"/>
        <v>4401</v>
      </c>
      <c r="R13" s="176">
        <f t="shared" si="0"/>
        <v>9.8830028519458352E-2</v>
      </c>
      <c r="S13" s="180">
        <v>514</v>
      </c>
      <c r="T13" s="175">
        <f t="shared" si="4"/>
        <v>2451</v>
      </c>
      <c r="U13" s="181">
        <f t="shared" si="2"/>
        <v>8.0733884515300239E-2</v>
      </c>
      <c r="V13" s="177">
        <v>204</v>
      </c>
      <c r="W13" s="175">
        <f t="shared" si="5"/>
        <v>422</v>
      </c>
      <c r="X13" s="182">
        <f t="shared" si="3"/>
        <v>4.4731821072715706E-2</v>
      </c>
    </row>
    <row r="14" spans="1:24" x14ac:dyDescent="0.2">
      <c r="A14" s="196">
        <v>15</v>
      </c>
      <c r="B14" s="175">
        <f t="shared" si="7"/>
        <v>35</v>
      </c>
      <c r="C14" s="199">
        <f t="shared" si="6"/>
        <v>1.0869565217391304E-2</v>
      </c>
      <c r="D14" s="197">
        <f>'Return by Mail'!F14</f>
        <v>3960</v>
      </c>
      <c r="E14" s="198" t="e">
        <f t="shared" ref="E14:E39" si="8">D14+E13</f>
        <v>#REF!</v>
      </c>
      <c r="P14" s="174">
        <v>19</v>
      </c>
      <c r="Q14" s="175">
        <f t="shared" si="1"/>
        <v>4420</v>
      </c>
      <c r="R14" s="176">
        <f t="shared" si="0"/>
        <v>9.9256697581460107E-2</v>
      </c>
      <c r="S14" s="180">
        <v>361</v>
      </c>
      <c r="T14" s="175">
        <f t="shared" si="4"/>
        <v>2812</v>
      </c>
      <c r="U14" s="181">
        <f t="shared" si="2"/>
        <v>9.2624921769491747E-2</v>
      </c>
      <c r="V14" s="177">
        <v>43</v>
      </c>
      <c r="W14" s="175">
        <f t="shared" si="5"/>
        <v>465</v>
      </c>
      <c r="X14" s="182">
        <f t="shared" si="3"/>
        <v>4.9289802840788634E-2</v>
      </c>
    </row>
    <row r="15" spans="1:24" x14ac:dyDescent="0.2">
      <c r="A15" s="196">
        <v>17</v>
      </c>
      <c r="B15" s="175">
        <f t="shared" si="7"/>
        <v>52</v>
      </c>
      <c r="C15" s="199">
        <f t="shared" si="6"/>
        <v>1.6149068322981366E-2</v>
      </c>
      <c r="D15" s="197">
        <f>'Return by Mail'!F15</f>
        <v>5068</v>
      </c>
      <c r="E15" s="198" t="e">
        <f t="shared" si="8"/>
        <v>#REF!</v>
      </c>
      <c r="P15" s="174">
        <v>1598</v>
      </c>
      <c r="Q15" s="175">
        <f t="shared" si="1"/>
        <v>6018</v>
      </c>
      <c r="R15" s="176">
        <f t="shared" si="0"/>
        <v>0.13514181132244954</v>
      </c>
      <c r="S15" s="180">
        <v>373</v>
      </c>
      <c r="T15" s="175">
        <f t="shared" si="4"/>
        <v>3185</v>
      </c>
      <c r="U15" s="181">
        <f t="shared" si="2"/>
        <v>0.10491122896011068</v>
      </c>
      <c r="V15" s="177">
        <v>123</v>
      </c>
      <c r="W15" s="175">
        <f t="shared" si="5"/>
        <v>588</v>
      </c>
      <c r="X15" s="182">
        <f t="shared" si="3"/>
        <v>6.2327750688997242E-2</v>
      </c>
    </row>
    <row r="16" spans="1:24" x14ac:dyDescent="0.2">
      <c r="A16" s="196">
        <v>36</v>
      </c>
      <c r="B16" s="175">
        <f t="shared" si="7"/>
        <v>88</v>
      </c>
      <c r="C16" s="199">
        <f t="shared" si="6"/>
        <v>2.732919254658385E-2</v>
      </c>
      <c r="D16" s="197">
        <f>'Return by Mail'!F16</f>
        <v>0</v>
      </c>
      <c r="E16" s="198" t="e">
        <f t="shared" si="8"/>
        <v>#REF!</v>
      </c>
      <c r="P16" s="174">
        <v>543</v>
      </c>
      <c r="Q16" s="175">
        <f t="shared" si="1"/>
        <v>6561</v>
      </c>
      <c r="R16" s="176">
        <f t="shared" si="0"/>
        <v>0.14733556398913117</v>
      </c>
      <c r="S16" s="180">
        <v>726</v>
      </c>
      <c r="T16" s="175">
        <f t="shared" ref="T16:T39" si="9">T15+S16</f>
        <v>3911</v>
      </c>
      <c r="U16" s="181">
        <f t="shared" si="2"/>
        <v>0.12882506011396949</v>
      </c>
      <c r="V16" s="177">
        <v>106</v>
      </c>
      <c r="W16" s="175">
        <f t="shared" si="5"/>
        <v>694</v>
      </c>
      <c r="X16" s="182">
        <f t="shared" si="3"/>
        <v>7.3563705745177024E-2</v>
      </c>
    </row>
    <row r="17" spans="1:24" x14ac:dyDescent="0.2">
      <c r="A17" s="196">
        <v>27</v>
      </c>
      <c r="B17" s="175">
        <f t="shared" si="7"/>
        <v>115</v>
      </c>
      <c r="C17" s="199">
        <f t="shared" si="6"/>
        <v>3.5714285714285712E-2</v>
      </c>
      <c r="D17" s="197">
        <f>'Return by Mail'!F17</f>
        <v>8263</v>
      </c>
      <c r="E17" s="198" t="e">
        <f t="shared" si="8"/>
        <v>#REF!</v>
      </c>
      <c r="P17" s="174">
        <v>1289</v>
      </c>
      <c r="Q17" s="175">
        <f t="shared" si="1"/>
        <v>7850</v>
      </c>
      <c r="R17" s="176">
        <f t="shared" si="0"/>
        <v>0.17628169140598685</v>
      </c>
      <c r="S17" s="180">
        <v>514</v>
      </c>
      <c r="T17" s="175">
        <f t="shared" si="9"/>
        <v>4425</v>
      </c>
      <c r="U17" s="181">
        <f t="shared" si="2"/>
        <v>0.14575578905761058</v>
      </c>
      <c r="V17" s="177">
        <v>94</v>
      </c>
      <c r="W17" s="175">
        <f t="shared" si="5"/>
        <v>788</v>
      </c>
      <c r="X17" s="182">
        <f t="shared" si="3"/>
        <v>8.3527665889336439E-2</v>
      </c>
    </row>
    <row r="18" spans="1:24" x14ac:dyDescent="0.2">
      <c r="A18" s="196">
        <v>25</v>
      </c>
      <c r="B18" s="175">
        <f t="shared" si="7"/>
        <v>140</v>
      </c>
      <c r="C18" s="199">
        <f t="shared" si="6"/>
        <v>4.3478260869565216E-2</v>
      </c>
      <c r="D18" s="197">
        <f>'Return by Mail'!F20</f>
        <v>4007</v>
      </c>
      <c r="E18" s="198" t="e">
        <f t="shared" si="8"/>
        <v>#REF!</v>
      </c>
      <c r="P18" s="174">
        <v>1090</v>
      </c>
      <c r="Q18" s="175">
        <f t="shared" si="1"/>
        <v>8940</v>
      </c>
      <c r="R18" s="176">
        <f t="shared" si="0"/>
        <v>0.20075902180503469</v>
      </c>
      <c r="S18" s="180">
        <v>1143</v>
      </c>
      <c r="T18" s="175">
        <f t="shared" si="9"/>
        <v>5568</v>
      </c>
      <c r="U18" s="181">
        <f t="shared" si="2"/>
        <v>0.1834052505023222</v>
      </c>
      <c r="V18" s="177">
        <v>286</v>
      </c>
      <c r="W18" s="175">
        <f t="shared" si="5"/>
        <v>1074</v>
      </c>
      <c r="X18" s="182">
        <f t="shared" si="3"/>
        <v>0.1138435446258215</v>
      </c>
    </row>
    <row r="19" spans="1:24" x14ac:dyDescent="0.2">
      <c r="A19" s="196">
        <v>88</v>
      </c>
      <c r="B19" s="175">
        <f t="shared" si="7"/>
        <v>228</v>
      </c>
      <c r="C19" s="199">
        <f t="shared" si="6"/>
        <v>7.0807453416149066E-2</v>
      </c>
      <c r="D19" s="197">
        <f>'Return by Mail'!F21</f>
        <v>3869</v>
      </c>
      <c r="E19" s="198" t="e">
        <f t="shared" si="8"/>
        <v>#REF!</v>
      </c>
      <c r="P19" s="174">
        <v>2333</v>
      </c>
      <c r="Q19" s="183">
        <f t="shared" si="1"/>
        <v>11273</v>
      </c>
      <c r="R19" s="176">
        <f t="shared" si="0"/>
        <v>0.25314949136556558</v>
      </c>
      <c r="S19" s="180">
        <v>595</v>
      </c>
      <c r="T19" s="175">
        <f t="shared" si="9"/>
        <v>6163</v>
      </c>
      <c r="U19" s="181">
        <f t="shared" si="2"/>
        <v>0.20300405151684839</v>
      </c>
      <c r="V19" s="177">
        <v>9</v>
      </c>
      <c r="W19" s="175">
        <f t="shared" si="5"/>
        <v>1083</v>
      </c>
      <c r="X19" s="182">
        <f t="shared" si="3"/>
        <v>0.11479754080983676</v>
      </c>
    </row>
    <row r="20" spans="1:24" x14ac:dyDescent="0.2">
      <c r="A20" s="196">
        <v>31</v>
      </c>
      <c r="B20" s="175">
        <f t="shared" si="7"/>
        <v>259</v>
      </c>
      <c r="C20" s="199">
        <f t="shared" si="6"/>
        <v>8.0434782608695646E-2</v>
      </c>
      <c r="D20" s="197">
        <f>'Return by Mail'!F22</f>
        <v>3728</v>
      </c>
      <c r="E20" s="198" t="e">
        <f t="shared" si="8"/>
        <v>#REF!</v>
      </c>
      <c r="P20" s="174">
        <v>294</v>
      </c>
      <c r="Q20" s="183">
        <f t="shared" si="1"/>
        <v>11567</v>
      </c>
      <c r="R20" s="176">
        <f t="shared" si="0"/>
        <v>0.25975163369338211</v>
      </c>
      <c r="S20" s="180">
        <v>1380</v>
      </c>
      <c r="T20" s="175">
        <f t="shared" si="9"/>
        <v>7543</v>
      </c>
      <c r="U20" s="181">
        <f t="shared" si="2"/>
        <v>0.24846009420600151</v>
      </c>
      <c r="V20" s="177">
        <v>208</v>
      </c>
      <c r="W20" s="175">
        <f t="shared" si="5"/>
        <v>1291</v>
      </c>
      <c r="X20" s="182">
        <f t="shared" si="3"/>
        <v>0.13684545261818953</v>
      </c>
    </row>
    <row r="21" spans="1:24" x14ac:dyDescent="0.2">
      <c r="A21" s="196">
        <v>66</v>
      </c>
      <c r="B21" s="175">
        <f t="shared" si="7"/>
        <v>325</v>
      </c>
      <c r="C21" s="199">
        <f t="shared" si="6"/>
        <v>0.10093167701863354</v>
      </c>
      <c r="D21" s="197">
        <f>'Return by Mail'!F23</f>
        <v>0</v>
      </c>
      <c r="E21" s="198" t="e">
        <f t="shared" si="8"/>
        <v>#REF!</v>
      </c>
      <c r="P21" s="174">
        <v>1480</v>
      </c>
      <c r="Q21" s="183">
        <f t="shared" si="1"/>
        <v>13047</v>
      </c>
      <c r="R21" s="176">
        <f t="shared" si="0"/>
        <v>0.29298690799667648</v>
      </c>
      <c r="S21" s="180">
        <v>315</v>
      </c>
      <c r="T21" s="175">
        <f t="shared" si="9"/>
        <v>7858</v>
      </c>
      <c r="U21" s="181">
        <f t="shared" si="2"/>
        <v>0.25883593003722127</v>
      </c>
      <c r="V21" s="177">
        <v>157</v>
      </c>
      <c r="W21" s="175">
        <f t="shared" si="5"/>
        <v>1448</v>
      </c>
      <c r="X21" s="182">
        <f t="shared" si="3"/>
        <v>0.15348738605045581</v>
      </c>
    </row>
    <row r="22" spans="1:24" x14ac:dyDescent="0.2">
      <c r="A22" s="196">
        <v>7</v>
      </c>
      <c r="B22" s="175">
        <f t="shared" si="7"/>
        <v>332</v>
      </c>
      <c r="C22" s="199">
        <f t="shared" si="6"/>
        <v>0.1031055900621118</v>
      </c>
      <c r="D22" s="197">
        <f>'Return by Mail'!F24</f>
        <v>5831</v>
      </c>
      <c r="E22" s="198" t="e">
        <f t="shared" si="8"/>
        <v>#REF!</v>
      </c>
      <c r="P22" s="174">
        <v>1227</v>
      </c>
      <c r="Q22" s="183">
        <f t="shared" si="1"/>
        <v>14274</v>
      </c>
      <c r="R22" s="176">
        <f t="shared" si="0"/>
        <v>0.32054074689542117</v>
      </c>
      <c r="S22" s="180">
        <v>1104</v>
      </c>
      <c r="T22" s="175">
        <f t="shared" si="9"/>
        <v>8962</v>
      </c>
      <c r="U22" s="181">
        <f t="shared" si="2"/>
        <v>0.29520076418854374</v>
      </c>
      <c r="V22" s="177">
        <v>150</v>
      </c>
      <c r="W22" s="175">
        <f t="shared" si="5"/>
        <v>1598</v>
      </c>
      <c r="X22" s="182">
        <f t="shared" si="3"/>
        <v>0.1693873224507102</v>
      </c>
    </row>
    <row r="23" spans="1:24" x14ac:dyDescent="0.2">
      <c r="A23" s="196">
        <v>71</v>
      </c>
      <c r="B23" s="175">
        <f t="shared" si="7"/>
        <v>403</v>
      </c>
      <c r="C23" s="199">
        <f t="shared" si="6"/>
        <v>0.12515527950310559</v>
      </c>
      <c r="D23" s="197">
        <f>'Return by Mail'!F27</f>
        <v>4132</v>
      </c>
      <c r="E23" s="198" t="e">
        <f t="shared" si="8"/>
        <v>#REF!</v>
      </c>
      <c r="P23" s="174">
        <v>1059</v>
      </c>
      <c r="Q23" s="183">
        <f t="shared" si="1"/>
        <v>15333</v>
      </c>
      <c r="R23" s="176">
        <f t="shared" si="0"/>
        <v>0.34432193303541353</v>
      </c>
      <c r="S23" s="180">
        <v>921</v>
      </c>
      <c r="T23" s="175">
        <f t="shared" si="9"/>
        <v>9883</v>
      </c>
      <c r="U23" s="181">
        <f t="shared" si="2"/>
        <v>0.32553773180934814</v>
      </c>
      <c r="V23" s="177">
        <v>417</v>
      </c>
      <c r="W23" s="175">
        <f t="shared" si="5"/>
        <v>2015</v>
      </c>
      <c r="X23" s="182">
        <f t="shared" si="3"/>
        <v>0.21358914564341744</v>
      </c>
    </row>
    <row r="24" spans="1:24" x14ac:dyDescent="0.2">
      <c r="A24" s="196">
        <v>85</v>
      </c>
      <c r="B24" s="175">
        <f t="shared" si="7"/>
        <v>488</v>
      </c>
      <c r="C24" s="199">
        <f t="shared" si="6"/>
        <v>0.1515527950310559</v>
      </c>
      <c r="D24" s="197">
        <f>'Return by Mail'!F28</f>
        <v>3664</v>
      </c>
      <c r="E24" s="198" t="e">
        <f t="shared" si="8"/>
        <v>#REF!</v>
      </c>
      <c r="P24" s="174">
        <v>2902</v>
      </c>
      <c r="Q24" s="183">
        <f t="shared" si="1"/>
        <v>18235</v>
      </c>
      <c r="R24" s="176">
        <f t="shared" si="0"/>
        <v>0.40949001818957581</v>
      </c>
      <c r="S24" s="180">
        <v>703</v>
      </c>
      <c r="T24" s="183">
        <f t="shared" si="9"/>
        <v>10586</v>
      </c>
      <c r="U24" s="181">
        <f t="shared" si="2"/>
        <v>0.34869396225172106</v>
      </c>
      <c r="V24" s="177">
        <v>10</v>
      </c>
      <c r="W24" s="175">
        <f t="shared" si="5"/>
        <v>2025</v>
      </c>
      <c r="X24" s="182">
        <f t="shared" si="3"/>
        <v>0.21464914140343438</v>
      </c>
    </row>
    <row r="25" spans="1:24" x14ac:dyDescent="0.2">
      <c r="A25" s="196">
        <v>69</v>
      </c>
      <c r="B25" s="175">
        <f t="shared" si="7"/>
        <v>557</v>
      </c>
      <c r="C25" s="199">
        <f t="shared" si="6"/>
        <v>0.17298136645962733</v>
      </c>
      <c r="D25" s="311">
        <f>'Return by Mail'!F29</f>
        <v>3259</v>
      </c>
      <c r="E25" s="312" t="e">
        <f t="shared" si="8"/>
        <v>#REF!</v>
      </c>
      <c r="P25" s="174">
        <v>473</v>
      </c>
      <c r="Q25" s="183">
        <f t="shared" si="1"/>
        <v>18708</v>
      </c>
      <c r="R25" s="176">
        <f t="shared" si="0"/>
        <v>0.42011183220677728</v>
      </c>
      <c r="S25" s="180">
        <v>2071</v>
      </c>
      <c r="T25" s="183">
        <f t="shared" si="9"/>
        <v>12657</v>
      </c>
      <c r="U25" s="181">
        <f t="shared" si="2"/>
        <v>0.41691096544681971</v>
      </c>
      <c r="V25" s="177">
        <v>455</v>
      </c>
      <c r="W25" s="175">
        <f t="shared" si="5"/>
        <v>2480</v>
      </c>
      <c r="X25" s="182">
        <f t="shared" si="3"/>
        <v>0.26287894848420607</v>
      </c>
    </row>
    <row r="26" spans="1:24" x14ac:dyDescent="0.2">
      <c r="A26" s="196">
        <v>54</v>
      </c>
      <c r="B26" s="175">
        <f t="shared" si="7"/>
        <v>611</v>
      </c>
      <c r="C26" s="199">
        <f t="shared" si="6"/>
        <v>0.18975155279503106</v>
      </c>
      <c r="D26" s="311">
        <f>'Return by Mail'!F30</f>
        <v>0</v>
      </c>
      <c r="E26" s="312" t="e">
        <f t="shared" si="8"/>
        <v>#REF!</v>
      </c>
      <c r="P26" s="174">
        <v>1937</v>
      </c>
      <c r="Q26" s="183">
        <f t="shared" si="1"/>
        <v>20645</v>
      </c>
      <c r="R26" s="176">
        <f t="shared" si="0"/>
        <v>0.46360962026453484</v>
      </c>
      <c r="S26" s="180">
        <v>259</v>
      </c>
      <c r="T26" s="183">
        <f t="shared" si="9"/>
        <v>12916</v>
      </c>
      <c r="U26" s="181">
        <f t="shared" si="2"/>
        <v>0.42544220824137818</v>
      </c>
      <c r="V26" s="177">
        <v>188</v>
      </c>
      <c r="W26" s="175">
        <f t="shared" si="5"/>
        <v>2668</v>
      </c>
      <c r="X26" s="182">
        <f t="shared" si="3"/>
        <v>0.28280686877252492</v>
      </c>
    </row>
    <row r="27" spans="1:24" x14ac:dyDescent="0.2">
      <c r="A27" s="196">
        <v>60</v>
      </c>
      <c r="B27" s="175">
        <f t="shared" si="7"/>
        <v>671</v>
      </c>
      <c r="C27" s="199">
        <f t="shared" si="6"/>
        <v>0.20838509316770187</v>
      </c>
      <c r="D27" s="311">
        <f>'Return by Mail'!F31</f>
        <v>0</v>
      </c>
      <c r="E27" s="312" t="e">
        <f t="shared" si="8"/>
        <v>#REF!</v>
      </c>
      <c r="P27" s="174">
        <v>1694</v>
      </c>
      <c r="Q27" s="183">
        <f t="shared" si="1"/>
        <v>22339</v>
      </c>
      <c r="R27" s="176">
        <f t="shared" si="0"/>
        <v>0.50165053558195416</v>
      </c>
      <c r="S27" s="180">
        <v>1533</v>
      </c>
      <c r="T27" s="183">
        <f t="shared" si="9"/>
        <v>14449</v>
      </c>
      <c r="U27" s="181">
        <f t="shared" si="2"/>
        <v>0.4759379426199809</v>
      </c>
      <c r="V27" s="177">
        <v>629</v>
      </c>
      <c r="W27" s="175">
        <f t="shared" si="5"/>
        <v>3297</v>
      </c>
      <c r="X27" s="182">
        <f t="shared" si="3"/>
        <v>0.34948060207759168</v>
      </c>
    </row>
    <row r="28" spans="1:24" x14ac:dyDescent="0.2">
      <c r="A28" s="314">
        <v>211</v>
      </c>
      <c r="B28" s="183">
        <f t="shared" si="7"/>
        <v>882</v>
      </c>
      <c r="C28" s="199">
        <f t="shared" si="6"/>
        <v>0.27391304347826084</v>
      </c>
      <c r="D28" s="311">
        <f>'Return by Mail'!F35</f>
        <v>5180</v>
      </c>
      <c r="E28" s="312" t="e">
        <f t="shared" si="8"/>
        <v>#REF!</v>
      </c>
      <c r="P28" s="174">
        <v>1721</v>
      </c>
      <c r="Q28" s="183">
        <f t="shared" si="1"/>
        <v>24060</v>
      </c>
      <c r="R28" s="176">
        <f t="shared" si="0"/>
        <v>0.54029777009274438</v>
      </c>
      <c r="S28" s="180">
        <v>1251</v>
      </c>
      <c r="T28" s="183">
        <f t="shared" si="9"/>
        <v>15700</v>
      </c>
      <c r="U28" s="181">
        <f t="shared" si="2"/>
        <v>0.51714483349253926</v>
      </c>
      <c r="V28" s="177">
        <v>40</v>
      </c>
      <c r="W28" s="175">
        <f t="shared" si="5"/>
        <v>3337</v>
      </c>
      <c r="X28" s="182">
        <f t="shared" si="3"/>
        <v>0.35372058511765953</v>
      </c>
    </row>
    <row r="29" spans="1:24" x14ac:dyDescent="0.2">
      <c r="A29" s="314">
        <v>33</v>
      </c>
      <c r="B29" s="183">
        <f t="shared" si="7"/>
        <v>915</v>
      </c>
      <c r="C29" s="199">
        <f t="shared" si="6"/>
        <v>0.28416149068322982</v>
      </c>
      <c r="D29" s="311">
        <f>'Return by Mail'!F36</f>
        <v>3875</v>
      </c>
      <c r="E29" s="312" t="e">
        <f t="shared" si="8"/>
        <v>#REF!</v>
      </c>
      <c r="P29" s="174">
        <v>1528</v>
      </c>
      <c r="Q29" s="183">
        <f t="shared" si="1"/>
        <v>25588</v>
      </c>
      <c r="R29" s="176">
        <f t="shared" si="0"/>
        <v>0.57461094518425371</v>
      </c>
      <c r="S29" s="180">
        <v>1117</v>
      </c>
      <c r="T29" s="183">
        <f t="shared" si="9"/>
        <v>16817</v>
      </c>
      <c r="U29" s="181">
        <f t="shared" si="2"/>
        <v>0.55393787674165818</v>
      </c>
      <c r="V29" s="177">
        <v>472</v>
      </c>
      <c r="W29" s="175">
        <f t="shared" si="5"/>
        <v>3809</v>
      </c>
      <c r="X29" s="182">
        <f t="shared" si="3"/>
        <v>0.40375238499046001</v>
      </c>
    </row>
    <row r="30" spans="1:24" x14ac:dyDescent="0.2">
      <c r="A30" s="314">
        <v>90</v>
      </c>
      <c r="B30" s="183">
        <f t="shared" si="7"/>
        <v>1005</v>
      </c>
      <c r="C30" s="199">
        <f t="shared" si="6"/>
        <v>0.31211180124223603</v>
      </c>
      <c r="D30" s="311">
        <f>'Return by Mail'!F37</f>
        <v>0</v>
      </c>
      <c r="E30" s="312" t="e">
        <f t="shared" si="8"/>
        <v>#REF!</v>
      </c>
      <c r="P30" s="174">
        <v>34</v>
      </c>
      <c r="Q30" s="183">
        <f t="shared" si="1"/>
        <v>25622</v>
      </c>
      <c r="R30" s="176">
        <f t="shared" si="0"/>
        <v>0.57537445824257261</v>
      </c>
      <c r="S30" s="180">
        <v>1035</v>
      </c>
      <c r="T30" s="183">
        <f t="shared" si="9"/>
        <v>17852</v>
      </c>
      <c r="U30" s="181">
        <f t="shared" si="2"/>
        <v>0.58802990875852301</v>
      </c>
      <c r="V30" s="177">
        <v>75</v>
      </c>
      <c r="W30" s="175">
        <f t="shared" si="5"/>
        <v>3884</v>
      </c>
      <c r="X30" s="182">
        <f t="shared" si="3"/>
        <v>0.41170235319058723</v>
      </c>
    </row>
    <row r="31" spans="1:24" x14ac:dyDescent="0.2">
      <c r="A31" s="314">
        <v>157</v>
      </c>
      <c r="B31" s="183">
        <f t="shared" si="7"/>
        <v>1162</v>
      </c>
      <c r="C31" s="199">
        <f t="shared" si="6"/>
        <v>0.36086956521739133</v>
      </c>
      <c r="D31" s="311">
        <f>'Return by Mail'!F38</f>
        <v>5711</v>
      </c>
      <c r="E31" s="312" t="e">
        <f t="shared" si="8"/>
        <v>#REF!</v>
      </c>
      <c r="P31" s="174">
        <v>2113</v>
      </c>
      <c r="Q31" s="183">
        <f t="shared" si="1"/>
        <v>27735</v>
      </c>
      <c r="R31" s="176">
        <f t="shared" si="0"/>
        <v>0.6228245491904516</v>
      </c>
      <c r="S31" s="180">
        <v>1200</v>
      </c>
      <c r="T31" s="183">
        <f t="shared" si="9"/>
        <v>19052</v>
      </c>
      <c r="U31" s="181">
        <f t="shared" si="2"/>
        <v>0.62755690240126483</v>
      </c>
      <c r="V31" s="177">
        <v>440</v>
      </c>
      <c r="W31" s="175">
        <f t="shared" si="5"/>
        <v>4324</v>
      </c>
      <c r="X31" s="182">
        <f t="shared" si="3"/>
        <v>0.45834216663133348</v>
      </c>
    </row>
    <row r="32" spans="1:24" x14ac:dyDescent="0.2">
      <c r="A32" s="314">
        <v>324</v>
      </c>
      <c r="B32" s="183">
        <f t="shared" si="7"/>
        <v>1486</v>
      </c>
      <c r="C32" s="199">
        <f t="shared" si="6"/>
        <v>0.46149068322981368</v>
      </c>
      <c r="D32" s="311">
        <f>'Return by Mail'!F41</f>
        <v>3300</v>
      </c>
      <c r="E32" s="312" t="e">
        <f t="shared" si="8"/>
        <v>#REF!</v>
      </c>
      <c r="P32" s="174">
        <v>872</v>
      </c>
      <c r="Q32" s="183">
        <f t="shared" si="1"/>
        <v>28607</v>
      </c>
      <c r="R32" s="176">
        <f t="shared" si="0"/>
        <v>0.64240641350968986</v>
      </c>
      <c r="S32" s="180">
        <v>1197</v>
      </c>
      <c r="T32" s="183">
        <f t="shared" si="9"/>
        <v>20249</v>
      </c>
      <c r="U32" s="181">
        <f t="shared" si="2"/>
        <v>0.66698507855989986</v>
      </c>
      <c r="V32" s="177">
        <v>806</v>
      </c>
      <c r="W32" s="175">
        <f t="shared" si="5"/>
        <v>5130</v>
      </c>
      <c r="X32" s="182">
        <f t="shared" si="3"/>
        <v>0.54377782488870041</v>
      </c>
    </row>
    <row r="33" spans="1:24" x14ac:dyDescent="0.2">
      <c r="A33" s="314">
        <v>41</v>
      </c>
      <c r="B33" s="183">
        <f t="shared" si="7"/>
        <v>1527</v>
      </c>
      <c r="C33" s="199">
        <f t="shared" si="6"/>
        <v>0.47422360248447204</v>
      </c>
      <c r="D33" s="311">
        <f>'Return by Mail'!F42</f>
        <v>3434</v>
      </c>
      <c r="E33" s="312" t="e">
        <f t="shared" si="8"/>
        <v>#REF!</v>
      </c>
      <c r="P33" s="174">
        <v>2183</v>
      </c>
      <c r="Q33" s="183">
        <f t="shared" si="1"/>
        <v>30790</v>
      </c>
      <c r="R33" s="176">
        <f t="shared" si="0"/>
        <v>0.69142844310704898</v>
      </c>
      <c r="S33" s="180">
        <v>1529</v>
      </c>
      <c r="T33" s="183">
        <f t="shared" si="9"/>
        <v>21778</v>
      </c>
      <c r="U33" s="181">
        <f t="shared" si="2"/>
        <v>0.71734905629302681</v>
      </c>
      <c r="V33" s="177">
        <v>799</v>
      </c>
      <c r="W33" s="175">
        <f t="shared" si="5"/>
        <v>5929</v>
      </c>
      <c r="X33" s="182">
        <f t="shared" si="3"/>
        <v>0.62847148611405557</v>
      </c>
    </row>
    <row r="34" spans="1:24" x14ac:dyDescent="0.2">
      <c r="A34" s="314">
        <v>252</v>
      </c>
      <c r="B34" s="183">
        <f t="shared" si="7"/>
        <v>1779</v>
      </c>
      <c r="C34" s="199">
        <f t="shared" si="6"/>
        <v>0.55248447204968942</v>
      </c>
      <c r="D34" s="311" t="e">
        <f>'Return by Mail'!#REF!</f>
        <v>#REF!</v>
      </c>
      <c r="E34" s="312" t="e">
        <f t="shared" si="8"/>
        <v>#REF!</v>
      </c>
      <c r="P34" s="174">
        <v>2413</v>
      </c>
      <c r="Q34" s="183">
        <f t="shared" si="1"/>
        <v>33203</v>
      </c>
      <c r="R34" s="176">
        <f t="shared" si="0"/>
        <v>0.74561541398127151</v>
      </c>
      <c r="S34" s="180">
        <v>1645</v>
      </c>
      <c r="T34" s="183">
        <f t="shared" si="9"/>
        <v>23423</v>
      </c>
      <c r="U34" s="181">
        <f t="shared" si="2"/>
        <v>0.77153397674495205</v>
      </c>
      <c r="V34" s="177">
        <v>664</v>
      </c>
      <c r="W34" s="175">
        <f t="shared" si="5"/>
        <v>6593</v>
      </c>
      <c r="X34" s="182">
        <f t="shared" si="3"/>
        <v>0.69885520457918171</v>
      </c>
    </row>
    <row r="35" spans="1:24" x14ac:dyDescent="0.2">
      <c r="A35" s="314">
        <v>262</v>
      </c>
      <c r="B35" s="183">
        <f t="shared" si="7"/>
        <v>2041</v>
      </c>
      <c r="C35" s="199">
        <f t="shared" si="6"/>
        <v>0.63385093167701867</v>
      </c>
      <c r="D35" s="311">
        <f>'Return by Mail'!F44</f>
        <v>0</v>
      </c>
      <c r="E35" s="312" t="e">
        <f t="shared" si="8"/>
        <v>#REF!</v>
      </c>
      <c r="P35" s="174">
        <v>2400</v>
      </c>
      <c r="Q35" s="183">
        <f t="shared" si="1"/>
        <v>35603</v>
      </c>
      <c r="R35" s="176">
        <f t="shared" si="0"/>
        <v>0.79951045339201909</v>
      </c>
      <c r="S35" s="180">
        <v>1556</v>
      </c>
      <c r="T35" s="183">
        <f t="shared" si="9"/>
        <v>24979</v>
      </c>
      <c r="U35" s="181">
        <f t="shared" si="2"/>
        <v>0.82278731183504072</v>
      </c>
      <c r="V35" s="177">
        <v>556</v>
      </c>
      <c r="W35" s="175">
        <f t="shared" si="5"/>
        <v>7149</v>
      </c>
      <c r="X35" s="182">
        <f t="shared" si="3"/>
        <v>0.75779096883612462</v>
      </c>
    </row>
    <row r="36" spans="1:24" x14ac:dyDescent="0.2">
      <c r="A36" s="314">
        <v>217</v>
      </c>
      <c r="B36" s="183">
        <f t="shared" si="7"/>
        <v>2258</v>
      </c>
      <c r="C36" s="199">
        <f t="shared" si="6"/>
        <v>0.7012422360248447</v>
      </c>
      <c r="D36" s="311">
        <f>'Return by Mail'!F43</f>
        <v>2852</v>
      </c>
      <c r="E36" s="312" t="e">
        <f t="shared" si="8"/>
        <v>#REF!</v>
      </c>
      <c r="P36" s="174">
        <v>4673</v>
      </c>
      <c r="Q36" s="183">
        <f t="shared" si="1"/>
        <v>40276</v>
      </c>
      <c r="R36" s="176">
        <f t="shared" si="0"/>
        <v>0.90444858637802883</v>
      </c>
      <c r="S36" s="180">
        <v>1193</v>
      </c>
      <c r="T36" s="183">
        <f t="shared" si="9"/>
        <v>26172</v>
      </c>
      <c r="U36" s="181">
        <f t="shared" si="2"/>
        <v>0.86208373134819982</v>
      </c>
      <c r="V36" s="177">
        <v>433</v>
      </c>
      <c r="W36" s="175">
        <f t="shared" si="5"/>
        <v>7582</v>
      </c>
      <c r="X36" s="182">
        <f t="shared" si="3"/>
        <v>0.80368878524485898</v>
      </c>
    </row>
    <row r="37" spans="1:24" x14ac:dyDescent="0.2">
      <c r="A37" s="314">
        <v>11</v>
      </c>
      <c r="B37" s="183">
        <f t="shared" si="7"/>
        <v>2269</v>
      </c>
      <c r="C37" s="199">
        <f t="shared" si="6"/>
        <v>0.70465838509316769</v>
      </c>
      <c r="D37" s="311">
        <f>'Return by Mail'!F46</f>
        <v>722</v>
      </c>
      <c r="E37" s="312" t="e">
        <f t="shared" si="8"/>
        <v>#REF!</v>
      </c>
      <c r="F37" s="20"/>
      <c r="G37" s="38"/>
      <c r="H37" s="317"/>
      <c r="I37" s="38"/>
      <c r="J37" s="38"/>
      <c r="K37" s="38"/>
      <c r="L37" s="39"/>
      <c r="M37" s="38"/>
      <c r="N37" s="38"/>
      <c r="O37" s="38"/>
      <c r="P37" s="184">
        <v>913</v>
      </c>
      <c r="Q37" s="183">
        <f t="shared" si="1"/>
        <v>41189</v>
      </c>
      <c r="R37" s="176">
        <f t="shared" si="0"/>
        <v>0.92495115762053404</v>
      </c>
      <c r="S37" s="180">
        <v>822</v>
      </c>
      <c r="T37" s="183">
        <f t="shared" si="9"/>
        <v>26994</v>
      </c>
      <c r="U37" s="181">
        <f t="shared" si="2"/>
        <v>0.88915972199347804</v>
      </c>
      <c r="V37" s="177">
        <v>379</v>
      </c>
      <c r="W37" s="175">
        <f t="shared" si="5"/>
        <v>7961</v>
      </c>
      <c r="X37" s="182">
        <f t="shared" si="3"/>
        <v>0.84386262454950178</v>
      </c>
    </row>
    <row r="38" spans="1:24" x14ac:dyDescent="0.2">
      <c r="A38" s="314">
        <v>766</v>
      </c>
      <c r="B38" s="183">
        <f t="shared" si="7"/>
        <v>3035</v>
      </c>
      <c r="C38" s="199">
        <f t="shared" si="6"/>
        <v>0.94254658385093171</v>
      </c>
      <c r="D38" s="311">
        <f>'Return by Mail'!F48</f>
        <v>3433</v>
      </c>
      <c r="E38" s="312" t="e">
        <f t="shared" si="8"/>
        <v>#REF!</v>
      </c>
      <c r="F38" s="40"/>
      <c r="P38" s="174">
        <v>1618</v>
      </c>
      <c r="Q38" s="183">
        <f t="shared" si="1"/>
        <v>42807</v>
      </c>
      <c r="R38" s="176">
        <f t="shared" si="0"/>
        <v>0.96128539668994628</v>
      </c>
      <c r="S38" s="180">
        <v>1647</v>
      </c>
      <c r="T38" s="183">
        <f t="shared" si="9"/>
        <v>28641</v>
      </c>
      <c r="U38" s="181">
        <f t="shared" si="2"/>
        <v>0.94341052076814125</v>
      </c>
      <c r="V38" s="177">
        <v>1273</v>
      </c>
      <c r="W38" s="175">
        <f t="shared" si="5"/>
        <v>9234</v>
      </c>
      <c r="X38" s="182">
        <f t="shared" si="3"/>
        <v>0.97880008479966085</v>
      </c>
    </row>
    <row r="39" spans="1:24" ht="13.5" thickBot="1" x14ac:dyDescent="0.25">
      <c r="A39" s="315">
        <v>185</v>
      </c>
      <c r="B39" s="186">
        <f t="shared" si="7"/>
        <v>3220</v>
      </c>
      <c r="C39" s="200">
        <f t="shared" si="6"/>
        <v>1</v>
      </c>
      <c r="D39" s="313">
        <f>'Return by Mail'!F56</f>
        <v>662</v>
      </c>
      <c r="E39" s="316" t="e">
        <f t="shared" si="8"/>
        <v>#REF!</v>
      </c>
      <c r="F39" s="40"/>
      <c r="P39" s="185">
        <v>1724</v>
      </c>
      <c r="Q39" s="186">
        <f t="shared" si="1"/>
        <v>44531</v>
      </c>
      <c r="R39" s="187">
        <f t="shared" si="0"/>
        <v>1</v>
      </c>
      <c r="S39" s="188">
        <v>1718</v>
      </c>
      <c r="T39" s="186">
        <f t="shared" si="9"/>
        <v>30359</v>
      </c>
      <c r="U39" s="189">
        <f t="shared" si="2"/>
        <v>1</v>
      </c>
      <c r="V39" s="190">
        <v>200</v>
      </c>
      <c r="W39" s="191">
        <f t="shared" si="5"/>
        <v>9434</v>
      </c>
      <c r="X39" s="192">
        <f t="shared" si="3"/>
        <v>1</v>
      </c>
    </row>
    <row r="40" spans="1:24" s="238" customFormat="1" x14ac:dyDescent="0.2">
      <c r="A40" s="234">
        <f>SUM(A12:A39)</f>
        <v>3220</v>
      </c>
      <c r="B40" s="235"/>
      <c r="C40" s="29"/>
      <c r="D40" s="236" t="e">
        <f>SUM(D5:D39)</f>
        <v>#REF!</v>
      </c>
      <c r="E40" s="237"/>
      <c r="F40" s="237"/>
      <c r="I40" s="302"/>
      <c r="P40" s="29">
        <f>SUM(P3:P39)</f>
        <v>44531</v>
      </c>
      <c r="Q40" s="239"/>
      <c r="R40" s="239"/>
      <c r="S40" s="29">
        <f>SUM(S6:S39)</f>
        <v>30359</v>
      </c>
      <c r="T40" s="239"/>
      <c r="U40" s="239"/>
      <c r="V40" s="29">
        <f>SUM(V6:V39)</f>
        <v>9434</v>
      </c>
      <c r="W40" s="239"/>
      <c r="X40" s="239"/>
    </row>
    <row r="41" spans="1:24" x14ac:dyDescent="0.2">
      <c r="D41" s="40"/>
      <c r="E41" s="40"/>
      <c r="F41" s="40"/>
    </row>
    <row r="42" spans="1:24" x14ac:dyDescent="0.2">
      <c r="D42" s="40"/>
      <c r="E42" s="40"/>
      <c r="F42" s="40"/>
    </row>
    <row r="43" spans="1:24" x14ac:dyDescent="0.2">
      <c r="B43" s="40"/>
      <c r="C43" s="36"/>
      <c r="D43" s="40"/>
      <c r="E43" s="40"/>
      <c r="F43" s="40"/>
    </row>
    <row r="44" spans="1:24" x14ac:dyDescent="0.2">
      <c r="B44" s="40"/>
      <c r="C44" s="36"/>
      <c r="D44" s="40"/>
      <c r="E44" s="40"/>
      <c r="F44" s="40"/>
    </row>
    <row r="45" spans="1:24" x14ac:dyDescent="0.2">
      <c r="D45" s="40"/>
      <c r="E45" s="40"/>
      <c r="F45" s="40"/>
    </row>
    <row r="46" spans="1:24" x14ac:dyDescent="0.2">
      <c r="D46" s="40"/>
      <c r="E46" s="40"/>
      <c r="F46" s="40"/>
    </row>
    <row r="47" spans="1:24" x14ac:dyDescent="0.2">
      <c r="B47" s="40"/>
      <c r="D47" s="40"/>
      <c r="E47" s="40"/>
      <c r="F47" s="40"/>
      <c r="T47" s="37"/>
      <c r="U47" s="41"/>
    </row>
    <row r="48" spans="1:24" x14ac:dyDescent="0.2">
      <c r="D48" s="40"/>
      <c r="E48" s="40"/>
      <c r="F48" s="40"/>
      <c r="T48" s="40"/>
    </row>
    <row r="49" spans="4:6" x14ac:dyDescent="0.2">
      <c r="D49" s="40"/>
      <c r="E49" s="40"/>
      <c r="F49" s="40"/>
    </row>
  </sheetData>
  <mergeCells count="1">
    <mergeCell ref="A1:X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33AC-038C-45C7-BED5-50E9560BA1AF}">
  <dimension ref="A1:V55"/>
  <sheetViews>
    <sheetView showGridLines="0" zoomScale="115" zoomScaleNormal="115" zoomScaleSheetLayoutView="100" workbookViewId="0">
      <pane ySplit="2" topLeftCell="A24" activePane="bottomLeft" state="frozen"/>
      <selection activeCell="W3" sqref="W3"/>
      <selection pane="bottomLeft" activeCell="W3" sqref="W3"/>
    </sheetView>
  </sheetViews>
  <sheetFormatPr defaultRowHeight="14.25" x14ac:dyDescent="0.2"/>
  <cols>
    <col min="1" max="1" width="10.375" style="1" customWidth="1"/>
    <col min="2" max="4" width="9.625" style="1" customWidth="1"/>
    <col min="5" max="5" width="2.5" style="1" customWidth="1"/>
    <col min="6" max="13" width="9" style="1"/>
    <col min="14" max="14" width="2.5" style="1" customWidth="1"/>
    <col min="15" max="18" width="9.625" style="1" customWidth="1"/>
    <col min="19" max="16384" width="9" style="1"/>
  </cols>
  <sheetData>
    <row r="1" spans="1:20" ht="57" customHeight="1" thickBot="1" x14ac:dyDescent="0.25">
      <c r="A1" s="848" t="s">
        <v>44</v>
      </c>
      <c r="B1" s="849"/>
      <c r="C1" s="849"/>
      <c r="D1" s="849"/>
      <c r="E1" s="849"/>
      <c r="F1" s="849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</row>
    <row r="2" spans="1:20" ht="66" customHeight="1" thickBot="1" x14ac:dyDescent="0.25">
      <c r="A2" s="60" t="s">
        <v>47</v>
      </c>
      <c r="B2" s="61" t="s">
        <v>33</v>
      </c>
      <c r="C2" s="52" t="s">
        <v>46</v>
      </c>
      <c r="D2" s="53" t="s">
        <v>42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247" t="s">
        <v>48</v>
      </c>
      <c r="P2" s="64" t="s">
        <v>31</v>
      </c>
      <c r="Q2" s="65" t="s">
        <v>49</v>
      </c>
      <c r="R2" s="47" t="s">
        <v>32</v>
      </c>
      <c r="S2" s="49" t="s">
        <v>50</v>
      </c>
      <c r="T2" s="50" t="s">
        <v>36</v>
      </c>
    </row>
    <row r="3" spans="1:20" ht="16.5" customHeight="1" x14ac:dyDescent="0.2">
      <c r="A3" s="154"/>
      <c r="B3" s="155"/>
      <c r="C3" s="156"/>
      <c r="D3" s="157"/>
      <c r="O3" s="205">
        <v>424</v>
      </c>
      <c r="P3" s="145">
        <f>O3</f>
        <v>424</v>
      </c>
      <c r="Q3" s="146"/>
      <c r="R3" s="147"/>
      <c r="S3" s="144"/>
      <c r="T3" s="148"/>
    </row>
    <row r="4" spans="1:20" x14ac:dyDescent="0.2">
      <c r="A4" s="158"/>
      <c r="B4" s="159"/>
      <c r="C4" s="160"/>
      <c r="D4" s="161"/>
      <c r="E4" s="55"/>
      <c r="O4" s="151">
        <v>290</v>
      </c>
      <c r="P4" s="141">
        <f>P3+O4</f>
        <v>714</v>
      </c>
      <c r="Q4" s="150">
        <v>219</v>
      </c>
      <c r="R4" s="140">
        <f>Q4</f>
        <v>219</v>
      </c>
      <c r="S4" s="149">
        <v>78</v>
      </c>
      <c r="T4" s="151">
        <f>S4</f>
        <v>78</v>
      </c>
    </row>
    <row r="5" spans="1:20" x14ac:dyDescent="0.2">
      <c r="A5" s="158"/>
      <c r="B5" s="159"/>
      <c r="C5" s="162"/>
      <c r="D5" s="163"/>
      <c r="O5" s="151">
        <v>250</v>
      </c>
      <c r="P5" s="141">
        <f t="shared" ref="P5:P38" si="0">P4+O5</f>
        <v>964</v>
      </c>
      <c r="Q5" s="150">
        <v>150</v>
      </c>
      <c r="R5" s="140">
        <f t="shared" ref="R5:R38" si="1">R4+Q5</f>
        <v>369</v>
      </c>
      <c r="S5" s="149">
        <v>57</v>
      </c>
      <c r="T5" s="151">
        <f>T4+S5</f>
        <v>135</v>
      </c>
    </row>
    <row r="6" spans="1:20" x14ac:dyDescent="0.2">
      <c r="A6" s="158" t="s">
        <v>13</v>
      </c>
      <c r="B6" s="159"/>
      <c r="C6" s="162"/>
      <c r="D6" s="163"/>
      <c r="O6" s="151">
        <v>207</v>
      </c>
      <c r="P6" s="141">
        <f t="shared" si="0"/>
        <v>1171</v>
      </c>
      <c r="Q6" s="150">
        <v>139</v>
      </c>
      <c r="R6" s="140">
        <f t="shared" si="1"/>
        <v>508</v>
      </c>
      <c r="S6" s="149">
        <v>48</v>
      </c>
      <c r="T6" s="151">
        <f t="shared" ref="T6:T38" si="2">T5+S6</f>
        <v>183</v>
      </c>
    </row>
    <row r="7" spans="1:20" x14ac:dyDescent="0.2">
      <c r="A7" s="158">
        <v>38</v>
      </c>
      <c r="B7" s="164">
        <v>38</v>
      </c>
      <c r="C7" s="162">
        <v>37</v>
      </c>
      <c r="D7" s="163">
        <f>C7</f>
        <v>37</v>
      </c>
      <c r="O7" s="151">
        <v>239</v>
      </c>
      <c r="P7" s="141">
        <f t="shared" si="0"/>
        <v>1410</v>
      </c>
      <c r="Q7" s="150">
        <v>129</v>
      </c>
      <c r="R7" s="140">
        <f t="shared" si="1"/>
        <v>637</v>
      </c>
      <c r="S7" s="149">
        <v>35</v>
      </c>
      <c r="T7" s="151">
        <f t="shared" si="2"/>
        <v>218</v>
      </c>
    </row>
    <row r="8" spans="1:20" x14ac:dyDescent="0.2">
      <c r="A8" s="201">
        <v>38</v>
      </c>
      <c r="B8" s="159">
        <f>A8</f>
        <v>38</v>
      </c>
      <c r="C8" s="250" t="e">
        <f>'In-Person Daily by Satellite'!#REF!</f>
        <v>#REF!</v>
      </c>
      <c r="D8" s="251" t="e">
        <f t="shared" ref="D8:D27" si="3">C8+D7</f>
        <v>#REF!</v>
      </c>
      <c r="O8" s="151">
        <v>286</v>
      </c>
      <c r="P8" s="141">
        <f t="shared" si="0"/>
        <v>1696</v>
      </c>
      <c r="Q8" s="150">
        <v>157</v>
      </c>
      <c r="R8" s="140">
        <f t="shared" si="1"/>
        <v>794</v>
      </c>
      <c r="S8" s="149">
        <v>66</v>
      </c>
      <c r="T8" s="151">
        <f t="shared" si="2"/>
        <v>284</v>
      </c>
    </row>
    <row r="9" spans="1:20" x14ac:dyDescent="0.2">
      <c r="A9" s="201">
        <v>20</v>
      </c>
      <c r="B9" s="159">
        <f t="shared" ref="B9:B38" si="4">B8+A9</f>
        <v>58</v>
      </c>
      <c r="C9" s="250" t="e">
        <f>'In-Person Daily by Satellite'!#REF!</f>
        <v>#REF!</v>
      </c>
      <c r="D9" s="251" t="e">
        <f t="shared" si="3"/>
        <v>#REF!</v>
      </c>
      <c r="O9" s="152">
        <v>2106</v>
      </c>
      <c r="P9" s="141">
        <f t="shared" si="0"/>
        <v>3802</v>
      </c>
      <c r="Q9" s="252">
        <v>204</v>
      </c>
      <c r="R9" s="141">
        <f t="shared" si="1"/>
        <v>998</v>
      </c>
      <c r="S9" s="253">
        <v>46</v>
      </c>
      <c r="T9" s="152">
        <f t="shared" si="2"/>
        <v>330</v>
      </c>
    </row>
    <row r="10" spans="1:20" x14ac:dyDescent="0.2">
      <c r="A10" s="201">
        <v>22</v>
      </c>
      <c r="B10" s="159">
        <f t="shared" si="4"/>
        <v>80</v>
      </c>
      <c r="C10" s="250" t="e">
        <f>'In-Person Daily by Satellite'!#REF!</f>
        <v>#REF!</v>
      </c>
      <c r="D10" s="251" t="e">
        <f t="shared" si="3"/>
        <v>#REF!</v>
      </c>
      <c r="O10" s="152">
        <v>381</v>
      </c>
      <c r="P10" s="141">
        <f t="shared" si="0"/>
        <v>4183</v>
      </c>
      <c r="Q10" s="252">
        <v>224</v>
      </c>
      <c r="R10" s="141">
        <f t="shared" si="1"/>
        <v>1222</v>
      </c>
      <c r="S10" s="253">
        <v>68</v>
      </c>
      <c r="T10" s="152">
        <f t="shared" si="2"/>
        <v>398</v>
      </c>
    </row>
    <row r="11" spans="1:20" x14ac:dyDescent="0.2">
      <c r="A11" s="201">
        <v>11</v>
      </c>
      <c r="B11" s="159">
        <f t="shared" si="4"/>
        <v>91</v>
      </c>
      <c r="C11" s="269" t="e">
        <f>'In-Person Daily by Satellite'!#REF!</f>
        <v>#REF!</v>
      </c>
      <c r="D11" s="251" t="e">
        <f t="shared" si="3"/>
        <v>#REF!</v>
      </c>
      <c r="O11" s="152">
        <v>315</v>
      </c>
      <c r="P11" s="141">
        <f t="shared" si="0"/>
        <v>4498</v>
      </c>
      <c r="Q11" s="252">
        <v>260</v>
      </c>
      <c r="R11" s="141">
        <f t="shared" si="1"/>
        <v>1482</v>
      </c>
      <c r="S11" s="253">
        <v>95</v>
      </c>
      <c r="T11" s="152">
        <f t="shared" si="2"/>
        <v>493</v>
      </c>
    </row>
    <row r="12" spans="1:20" x14ac:dyDescent="0.2">
      <c r="A12" s="165">
        <v>1</v>
      </c>
      <c r="B12" s="166">
        <f t="shared" si="4"/>
        <v>92</v>
      </c>
      <c r="C12" s="269" t="e">
        <f>'In-Person Daily by Satellite'!#REF!</f>
        <v>#REF!</v>
      </c>
      <c r="D12" s="251" t="e">
        <f t="shared" si="3"/>
        <v>#REF!</v>
      </c>
      <c r="O12" s="152">
        <v>307</v>
      </c>
      <c r="P12" s="139">
        <f t="shared" si="0"/>
        <v>4805</v>
      </c>
      <c r="Q12" s="254">
        <v>257</v>
      </c>
      <c r="R12" s="141">
        <f t="shared" si="1"/>
        <v>1739</v>
      </c>
      <c r="S12" s="253">
        <v>95</v>
      </c>
      <c r="T12" s="152">
        <f t="shared" si="2"/>
        <v>588</v>
      </c>
    </row>
    <row r="13" spans="1:20" x14ac:dyDescent="0.2">
      <c r="A13" s="165">
        <v>0</v>
      </c>
      <c r="B13" s="166">
        <f t="shared" si="4"/>
        <v>92</v>
      </c>
      <c r="C13" s="269" t="e">
        <f>'In-Person Daily by Satellite'!#REF!</f>
        <v>#REF!</v>
      </c>
      <c r="D13" s="251" t="e">
        <f t="shared" si="3"/>
        <v>#REF!</v>
      </c>
      <c r="O13" s="152">
        <v>314</v>
      </c>
      <c r="P13" s="139">
        <f t="shared" si="0"/>
        <v>5119</v>
      </c>
      <c r="Q13" s="254">
        <v>385</v>
      </c>
      <c r="R13" s="141">
        <f t="shared" si="1"/>
        <v>2124</v>
      </c>
      <c r="S13" s="255">
        <v>135</v>
      </c>
      <c r="T13" s="152">
        <f t="shared" si="2"/>
        <v>723</v>
      </c>
    </row>
    <row r="14" spans="1:20" x14ac:dyDescent="0.2">
      <c r="A14" s="165">
        <v>0</v>
      </c>
      <c r="B14" s="166">
        <f t="shared" si="4"/>
        <v>92</v>
      </c>
      <c r="C14" s="269" t="e">
        <f>'In-Person Daily by Satellite'!#REF!</f>
        <v>#REF!</v>
      </c>
      <c r="D14" s="251" t="e">
        <f t="shared" si="3"/>
        <v>#REF!</v>
      </c>
      <c r="O14" s="152">
        <v>318</v>
      </c>
      <c r="P14" s="139">
        <f t="shared" si="0"/>
        <v>5437</v>
      </c>
      <c r="Q14" s="254">
        <v>362</v>
      </c>
      <c r="R14" s="141">
        <f t="shared" si="1"/>
        <v>2486</v>
      </c>
      <c r="S14" s="255">
        <v>156</v>
      </c>
      <c r="T14" s="152">
        <f t="shared" si="2"/>
        <v>879</v>
      </c>
    </row>
    <row r="15" spans="1:20" x14ac:dyDescent="0.2">
      <c r="A15" s="165">
        <v>12</v>
      </c>
      <c r="B15" s="166">
        <f t="shared" si="4"/>
        <v>104</v>
      </c>
      <c r="C15" s="269" t="e">
        <f>'In-Person Daily by Satellite'!#REF!</f>
        <v>#REF!</v>
      </c>
      <c r="D15" s="251" t="e">
        <f t="shared" si="3"/>
        <v>#REF!</v>
      </c>
      <c r="O15" s="152">
        <v>3079</v>
      </c>
      <c r="P15" s="139">
        <f t="shared" si="0"/>
        <v>8516</v>
      </c>
      <c r="Q15" s="254">
        <v>501</v>
      </c>
      <c r="R15" s="141">
        <f t="shared" si="1"/>
        <v>2987</v>
      </c>
      <c r="S15" s="255">
        <v>162</v>
      </c>
      <c r="T15" s="152">
        <f t="shared" si="2"/>
        <v>1041</v>
      </c>
    </row>
    <row r="16" spans="1:20" x14ac:dyDescent="0.2">
      <c r="A16" s="165">
        <v>16</v>
      </c>
      <c r="B16" s="166">
        <f t="shared" si="4"/>
        <v>120</v>
      </c>
      <c r="C16" s="269" t="e">
        <f>'In-Person Daily by Satellite'!#REF!</f>
        <v>#REF!</v>
      </c>
      <c r="D16" s="251" t="e">
        <f t="shared" si="3"/>
        <v>#REF!</v>
      </c>
      <c r="O16" s="152">
        <v>439</v>
      </c>
      <c r="P16" s="139">
        <f t="shared" si="0"/>
        <v>8955</v>
      </c>
      <c r="Q16" s="254">
        <v>474</v>
      </c>
      <c r="R16" s="141">
        <f t="shared" si="1"/>
        <v>3461</v>
      </c>
      <c r="S16" s="255">
        <v>164</v>
      </c>
      <c r="T16" s="152">
        <f t="shared" si="2"/>
        <v>1205</v>
      </c>
    </row>
    <row r="17" spans="1:20" x14ac:dyDescent="0.2">
      <c r="A17" s="165">
        <v>22</v>
      </c>
      <c r="B17" s="166">
        <f t="shared" si="4"/>
        <v>142</v>
      </c>
      <c r="C17" s="269">
        <f>'In-Person Daily by Satellite'!B23</f>
        <v>1213</v>
      </c>
      <c r="D17" s="251" t="e">
        <f t="shared" si="3"/>
        <v>#REF!</v>
      </c>
      <c r="O17" s="152">
        <v>344</v>
      </c>
      <c r="P17" s="139">
        <f t="shared" si="0"/>
        <v>9299</v>
      </c>
      <c r="Q17" s="254">
        <v>248</v>
      </c>
      <c r="R17" s="141">
        <f t="shared" si="1"/>
        <v>3709</v>
      </c>
      <c r="S17" s="255">
        <v>126</v>
      </c>
      <c r="T17" s="152">
        <f t="shared" si="2"/>
        <v>1331</v>
      </c>
    </row>
    <row r="18" spans="1:20" x14ac:dyDescent="0.2">
      <c r="A18" s="165">
        <v>24</v>
      </c>
      <c r="B18" s="166">
        <f t="shared" si="4"/>
        <v>166</v>
      </c>
      <c r="C18" s="269">
        <f>'In-Person Daily by Satellite'!B24</f>
        <v>1310</v>
      </c>
      <c r="D18" s="251" t="e">
        <f t="shared" si="3"/>
        <v>#REF!</v>
      </c>
      <c r="O18" s="152">
        <v>438</v>
      </c>
      <c r="P18" s="139">
        <f t="shared" si="0"/>
        <v>9737</v>
      </c>
      <c r="Q18" s="254">
        <v>362</v>
      </c>
      <c r="R18" s="141">
        <f t="shared" si="1"/>
        <v>4071</v>
      </c>
      <c r="S18" s="255">
        <v>110</v>
      </c>
      <c r="T18" s="152">
        <f t="shared" si="2"/>
        <v>1441</v>
      </c>
    </row>
    <row r="19" spans="1:20" x14ac:dyDescent="0.2">
      <c r="A19" s="165">
        <v>21</v>
      </c>
      <c r="B19" s="166">
        <f t="shared" si="4"/>
        <v>187</v>
      </c>
      <c r="C19" s="269">
        <f>'In-Person Daily by Satellite'!B25</f>
        <v>1323</v>
      </c>
      <c r="D19" s="251" t="e">
        <f t="shared" si="3"/>
        <v>#REF!</v>
      </c>
      <c r="O19" s="152">
        <v>478</v>
      </c>
      <c r="P19" s="139">
        <f t="shared" si="0"/>
        <v>10215</v>
      </c>
      <c r="Q19" s="254">
        <v>331</v>
      </c>
      <c r="R19" s="141">
        <f t="shared" si="1"/>
        <v>4402</v>
      </c>
      <c r="S19" s="255">
        <v>145</v>
      </c>
      <c r="T19" s="152">
        <f t="shared" si="2"/>
        <v>1586</v>
      </c>
    </row>
    <row r="20" spans="1:20" x14ac:dyDescent="0.2">
      <c r="A20" s="165">
        <v>18</v>
      </c>
      <c r="B20" s="166">
        <f t="shared" si="4"/>
        <v>205</v>
      </c>
      <c r="C20" s="269">
        <f>'In-Person Daily by Satellite'!B26</f>
        <v>1309</v>
      </c>
      <c r="D20" s="251" t="e">
        <f t="shared" si="3"/>
        <v>#REF!</v>
      </c>
      <c r="O20" s="152">
        <v>4005</v>
      </c>
      <c r="P20" s="139">
        <f t="shared" si="0"/>
        <v>14220</v>
      </c>
      <c r="Q20" s="254">
        <v>3731</v>
      </c>
      <c r="R20" s="141">
        <f t="shared" si="1"/>
        <v>8133</v>
      </c>
      <c r="S20" s="255">
        <v>147</v>
      </c>
      <c r="T20" s="152">
        <f>T19+S20</f>
        <v>1733</v>
      </c>
    </row>
    <row r="21" spans="1:20" x14ac:dyDescent="0.2">
      <c r="A21" s="165">
        <v>32</v>
      </c>
      <c r="B21" s="166">
        <f t="shared" si="4"/>
        <v>237</v>
      </c>
      <c r="C21" s="269">
        <f>'In-Person Daily by Satellite'!B27</f>
        <v>1490</v>
      </c>
      <c r="D21" s="251" t="e">
        <f t="shared" si="3"/>
        <v>#REF!</v>
      </c>
      <c r="O21" s="152">
        <v>1907</v>
      </c>
      <c r="P21" s="139">
        <f t="shared" si="0"/>
        <v>16127</v>
      </c>
      <c r="Q21" s="254">
        <v>1795</v>
      </c>
      <c r="R21" s="141">
        <f t="shared" si="1"/>
        <v>9928</v>
      </c>
      <c r="S21" s="255">
        <v>182</v>
      </c>
      <c r="T21" s="152">
        <f t="shared" si="2"/>
        <v>1915</v>
      </c>
    </row>
    <row r="22" spans="1:20" x14ac:dyDescent="0.2">
      <c r="A22" s="165">
        <v>22</v>
      </c>
      <c r="B22" s="166">
        <f t="shared" si="4"/>
        <v>259</v>
      </c>
      <c r="C22" s="167">
        <f>'In-Person Daily by Satellite'!B30</f>
        <v>0</v>
      </c>
      <c r="D22" s="251" t="e">
        <f t="shared" si="3"/>
        <v>#REF!</v>
      </c>
      <c r="O22" s="152">
        <v>1888</v>
      </c>
      <c r="P22" s="139">
        <f t="shared" si="0"/>
        <v>18015</v>
      </c>
      <c r="Q22" s="254">
        <v>1434</v>
      </c>
      <c r="R22" s="141">
        <f t="shared" si="1"/>
        <v>11362</v>
      </c>
      <c r="S22" s="255">
        <v>240</v>
      </c>
      <c r="T22" s="152">
        <f t="shared" si="2"/>
        <v>2155</v>
      </c>
    </row>
    <row r="23" spans="1:20" x14ac:dyDescent="0.2">
      <c r="A23" s="165">
        <v>35</v>
      </c>
      <c r="B23" s="166">
        <f t="shared" si="4"/>
        <v>294</v>
      </c>
      <c r="C23" s="167">
        <f>'In-Person Daily by Satellite'!B31</f>
        <v>1238</v>
      </c>
      <c r="D23" s="251" t="e">
        <f t="shared" si="3"/>
        <v>#REF!</v>
      </c>
      <c r="O23" s="152">
        <v>1686</v>
      </c>
      <c r="P23" s="139">
        <f t="shared" si="0"/>
        <v>19701</v>
      </c>
      <c r="Q23" s="254">
        <v>1251</v>
      </c>
      <c r="R23" s="141">
        <f t="shared" si="1"/>
        <v>12613</v>
      </c>
      <c r="S23" s="255">
        <v>98</v>
      </c>
      <c r="T23" s="152">
        <f t="shared" si="2"/>
        <v>2253</v>
      </c>
    </row>
    <row r="24" spans="1:20" x14ac:dyDescent="0.2">
      <c r="A24" s="165">
        <v>13</v>
      </c>
      <c r="B24" s="166">
        <f t="shared" si="4"/>
        <v>307</v>
      </c>
      <c r="C24" s="167">
        <f>'In-Person Daily by Satellite'!B32</f>
        <v>7473</v>
      </c>
      <c r="D24" s="251" t="e">
        <f t="shared" si="3"/>
        <v>#REF!</v>
      </c>
      <c r="O24" s="152">
        <v>1815</v>
      </c>
      <c r="P24" s="139">
        <f t="shared" si="0"/>
        <v>21516</v>
      </c>
      <c r="Q24" s="254">
        <v>1270</v>
      </c>
      <c r="R24" s="141">
        <f t="shared" si="1"/>
        <v>13883</v>
      </c>
      <c r="S24" s="255">
        <v>715</v>
      </c>
      <c r="T24" s="152">
        <f t="shared" si="2"/>
        <v>2968</v>
      </c>
    </row>
    <row r="25" spans="1:20" x14ac:dyDescent="0.2">
      <c r="A25" s="165">
        <v>26</v>
      </c>
      <c r="B25" s="166">
        <f t="shared" si="4"/>
        <v>333</v>
      </c>
      <c r="C25" s="167">
        <f>'In-Person Daily by Satellite'!B33</f>
        <v>8296</v>
      </c>
      <c r="D25" s="251" t="e">
        <f t="shared" si="3"/>
        <v>#REF!</v>
      </c>
      <c r="O25" s="152">
        <v>1835</v>
      </c>
      <c r="P25" s="139">
        <f t="shared" si="0"/>
        <v>23351</v>
      </c>
      <c r="Q25" s="254">
        <v>1439</v>
      </c>
      <c r="R25" s="141">
        <f t="shared" si="1"/>
        <v>15322</v>
      </c>
      <c r="S25" s="255">
        <v>666</v>
      </c>
      <c r="T25" s="152">
        <f t="shared" si="2"/>
        <v>3634</v>
      </c>
    </row>
    <row r="26" spans="1:20" x14ac:dyDescent="0.2">
      <c r="A26" s="165">
        <v>48</v>
      </c>
      <c r="B26" s="166">
        <f t="shared" si="4"/>
        <v>381</v>
      </c>
      <c r="C26" s="167">
        <f>'In-Person Daily by Satellite'!B34</f>
        <v>9006</v>
      </c>
      <c r="D26" s="251" t="e">
        <f t="shared" si="3"/>
        <v>#REF!</v>
      </c>
      <c r="O26" s="152">
        <v>3698</v>
      </c>
      <c r="P26" s="139">
        <f t="shared" si="0"/>
        <v>27049</v>
      </c>
      <c r="Q26" s="254">
        <v>3088</v>
      </c>
      <c r="R26" s="141">
        <f t="shared" si="1"/>
        <v>18410</v>
      </c>
      <c r="S26" s="255">
        <v>1469</v>
      </c>
      <c r="T26" s="152">
        <f t="shared" si="2"/>
        <v>5103</v>
      </c>
    </row>
    <row r="27" spans="1:20" x14ac:dyDescent="0.2">
      <c r="A27" s="165">
        <v>44</v>
      </c>
      <c r="B27" s="166">
        <f t="shared" si="4"/>
        <v>425</v>
      </c>
      <c r="C27" s="167">
        <v>0</v>
      </c>
      <c r="D27" s="251" t="e">
        <f t="shared" si="3"/>
        <v>#REF!</v>
      </c>
      <c r="O27" s="152">
        <v>2335</v>
      </c>
      <c r="P27" s="139">
        <f t="shared" si="0"/>
        <v>29384</v>
      </c>
      <c r="Q27" s="254">
        <v>1561</v>
      </c>
      <c r="R27" s="141">
        <f t="shared" si="1"/>
        <v>19971</v>
      </c>
      <c r="S27" s="255">
        <v>681</v>
      </c>
      <c r="T27" s="152">
        <f t="shared" si="2"/>
        <v>5784</v>
      </c>
    </row>
    <row r="28" spans="1:20" x14ac:dyDescent="0.2">
      <c r="A28" s="165">
        <v>0</v>
      </c>
      <c r="B28" s="166">
        <f t="shared" si="4"/>
        <v>425</v>
      </c>
      <c r="C28" s="167">
        <f>'In-Person Daily by Satellite'!B38</f>
        <v>9722</v>
      </c>
      <c r="D28" s="251" t="e">
        <f t="shared" ref="D28:D38" si="5">C28+D27</f>
        <v>#REF!</v>
      </c>
      <c r="O28" s="152">
        <v>2319</v>
      </c>
      <c r="P28" s="139">
        <f t="shared" si="0"/>
        <v>31703</v>
      </c>
      <c r="Q28" s="254">
        <v>1439</v>
      </c>
      <c r="R28" s="141">
        <f t="shared" si="1"/>
        <v>21410</v>
      </c>
      <c r="S28" s="255">
        <v>498</v>
      </c>
      <c r="T28" s="152">
        <f t="shared" si="2"/>
        <v>6282</v>
      </c>
    </row>
    <row r="29" spans="1:20" x14ac:dyDescent="0.2">
      <c r="A29" s="258">
        <v>32</v>
      </c>
      <c r="B29" s="259">
        <f t="shared" si="4"/>
        <v>457</v>
      </c>
      <c r="C29" s="167">
        <f>'In-Person Daily by Satellite'!B39</f>
        <v>9972</v>
      </c>
      <c r="D29" s="251" t="e">
        <f t="shared" si="5"/>
        <v>#REF!</v>
      </c>
      <c r="O29" s="152">
        <v>2153</v>
      </c>
      <c r="P29" s="139">
        <f t="shared" si="0"/>
        <v>33856</v>
      </c>
      <c r="Q29" s="254">
        <v>1426</v>
      </c>
      <c r="R29" s="141">
        <f t="shared" si="1"/>
        <v>22836</v>
      </c>
      <c r="S29" s="255">
        <v>693</v>
      </c>
      <c r="T29" s="152">
        <f t="shared" si="2"/>
        <v>6975</v>
      </c>
    </row>
    <row r="30" spans="1:20" x14ac:dyDescent="0.2">
      <c r="A30" s="258">
        <v>59</v>
      </c>
      <c r="B30" s="259">
        <f t="shared" si="4"/>
        <v>516</v>
      </c>
      <c r="C30" s="167">
        <f>'In-Person Daily by Satellite'!B40</f>
        <v>9810</v>
      </c>
      <c r="D30" s="251" t="e">
        <f t="shared" si="5"/>
        <v>#REF!</v>
      </c>
      <c r="O30" s="152">
        <v>2249</v>
      </c>
      <c r="P30" s="139">
        <f t="shared" si="0"/>
        <v>36105</v>
      </c>
      <c r="Q30" s="254">
        <v>1450</v>
      </c>
      <c r="R30" s="141">
        <f t="shared" si="1"/>
        <v>24286</v>
      </c>
      <c r="S30" s="255">
        <v>592</v>
      </c>
      <c r="T30" s="152">
        <f t="shared" si="2"/>
        <v>7567</v>
      </c>
    </row>
    <row r="31" spans="1:20" x14ac:dyDescent="0.2">
      <c r="A31" s="258">
        <v>101</v>
      </c>
      <c r="B31" s="259">
        <f t="shared" si="4"/>
        <v>617</v>
      </c>
      <c r="C31" s="299">
        <f>'In-Person Daily by Satellite'!B41</f>
        <v>9947</v>
      </c>
      <c r="D31" s="251" t="e">
        <f t="shared" si="5"/>
        <v>#REF!</v>
      </c>
      <c r="O31" s="152">
        <v>2983</v>
      </c>
      <c r="P31" s="139">
        <f t="shared" si="0"/>
        <v>39088</v>
      </c>
      <c r="Q31" s="254">
        <v>1545</v>
      </c>
      <c r="R31" s="141">
        <f t="shared" si="1"/>
        <v>25831</v>
      </c>
      <c r="S31" s="255">
        <v>707</v>
      </c>
      <c r="T31" s="152">
        <f t="shared" si="2"/>
        <v>8274</v>
      </c>
    </row>
    <row r="32" spans="1:20" x14ac:dyDescent="0.2">
      <c r="A32" s="258">
        <v>82</v>
      </c>
      <c r="B32" s="259">
        <f t="shared" si="4"/>
        <v>699</v>
      </c>
      <c r="C32" s="299">
        <f>'In-Person Daily by Satellite'!B42</f>
        <v>11352</v>
      </c>
      <c r="D32" s="251" t="e">
        <f t="shared" si="5"/>
        <v>#REF!</v>
      </c>
      <c r="O32" s="152">
        <v>4686</v>
      </c>
      <c r="P32" s="139">
        <f t="shared" si="0"/>
        <v>43774</v>
      </c>
      <c r="Q32" s="254">
        <v>3746</v>
      </c>
      <c r="R32" s="141">
        <f t="shared" si="1"/>
        <v>29577</v>
      </c>
      <c r="S32" s="255">
        <v>2001</v>
      </c>
      <c r="T32" s="152">
        <f t="shared" si="2"/>
        <v>10275</v>
      </c>
    </row>
    <row r="33" spans="1:22" x14ac:dyDescent="0.2">
      <c r="A33" s="258">
        <v>179</v>
      </c>
      <c r="B33" s="259">
        <f t="shared" si="4"/>
        <v>878</v>
      </c>
      <c r="C33" s="299">
        <f>'In-Person Daily by Satellite'!B44</f>
        <v>10565</v>
      </c>
      <c r="D33" s="251" t="e">
        <f t="shared" si="5"/>
        <v>#REF!</v>
      </c>
      <c r="O33" s="152">
        <v>3255</v>
      </c>
      <c r="P33" s="139">
        <f t="shared" si="0"/>
        <v>47029</v>
      </c>
      <c r="Q33" s="254">
        <v>2231</v>
      </c>
      <c r="R33" s="141">
        <f t="shared" si="1"/>
        <v>31808</v>
      </c>
      <c r="S33" s="255">
        <v>1251</v>
      </c>
      <c r="T33" s="152">
        <f t="shared" si="2"/>
        <v>11526</v>
      </c>
    </row>
    <row r="34" spans="1:22" x14ac:dyDescent="0.2">
      <c r="A34" s="258">
        <v>93</v>
      </c>
      <c r="B34" s="259">
        <f t="shared" si="4"/>
        <v>971</v>
      </c>
      <c r="C34" s="299">
        <f>'In-Person Daily by Satellite'!B45</f>
        <v>10945</v>
      </c>
      <c r="D34" s="251" t="e">
        <f t="shared" si="5"/>
        <v>#REF!</v>
      </c>
      <c r="O34" s="152">
        <v>3703</v>
      </c>
      <c r="P34" s="139">
        <f t="shared" si="0"/>
        <v>50732</v>
      </c>
      <c r="Q34" s="254">
        <v>2177</v>
      </c>
      <c r="R34" s="141">
        <f t="shared" si="1"/>
        <v>33985</v>
      </c>
      <c r="S34" s="255">
        <v>1215</v>
      </c>
      <c r="T34" s="152">
        <f t="shared" si="2"/>
        <v>12741</v>
      </c>
    </row>
    <row r="35" spans="1:22" x14ac:dyDescent="0.2">
      <c r="A35" s="258">
        <v>114</v>
      </c>
      <c r="B35" s="259">
        <f t="shared" si="4"/>
        <v>1085</v>
      </c>
      <c r="C35" s="299">
        <f>'In-Person Daily by Satellite'!B46</f>
        <v>11172</v>
      </c>
      <c r="D35" s="251" t="e">
        <f t="shared" si="5"/>
        <v>#REF!</v>
      </c>
      <c r="O35" s="152">
        <v>4180</v>
      </c>
      <c r="P35" s="139">
        <f t="shared" si="0"/>
        <v>54912</v>
      </c>
      <c r="Q35" s="254">
        <v>2019</v>
      </c>
      <c r="R35" s="141">
        <f t="shared" si="1"/>
        <v>36004</v>
      </c>
      <c r="S35" s="255">
        <v>1132</v>
      </c>
      <c r="T35" s="152">
        <f t="shared" si="2"/>
        <v>13873</v>
      </c>
      <c r="V35" s="1" t="s">
        <v>13</v>
      </c>
    </row>
    <row r="36" spans="1:22" x14ac:dyDescent="0.2">
      <c r="A36" s="258">
        <v>181</v>
      </c>
      <c r="B36" s="259">
        <f t="shared" si="4"/>
        <v>1266</v>
      </c>
      <c r="C36" s="299">
        <f>'In-Person Daily by Satellite'!B47</f>
        <v>13751</v>
      </c>
      <c r="D36" s="251" t="e">
        <f t="shared" si="5"/>
        <v>#REF!</v>
      </c>
      <c r="O36" s="152">
        <v>5109</v>
      </c>
      <c r="P36" s="139">
        <f t="shared" si="0"/>
        <v>60021</v>
      </c>
      <c r="Q36" s="254">
        <v>2448</v>
      </c>
      <c r="R36" s="141">
        <f t="shared" si="1"/>
        <v>38452</v>
      </c>
      <c r="S36" s="255">
        <v>1122</v>
      </c>
      <c r="T36" s="152">
        <f t="shared" si="2"/>
        <v>14995</v>
      </c>
    </row>
    <row r="37" spans="1:22" x14ac:dyDescent="0.2">
      <c r="A37" s="258">
        <v>177</v>
      </c>
      <c r="B37" s="259">
        <f t="shared" si="4"/>
        <v>1443</v>
      </c>
      <c r="C37" s="299">
        <f>'In-Person Daily by Satellite'!B48</f>
        <v>14165</v>
      </c>
      <c r="D37" s="251" t="e">
        <f t="shared" si="5"/>
        <v>#REF!</v>
      </c>
      <c r="O37" s="152">
        <v>7333</v>
      </c>
      <c r="P37" s="139">
        <f t="shared" si="0"/>
        <v>67354</v>
      </c>
      <c r="Q37" s="254">
        <v>3230</v>
      </c>
      <c r="R37" s="141">
        <f t="shared" si="1"/>
        <v>41682</v>
      </c>
      <c r="S37" s="255">
        <v>1888</v>
      </c>
      <c r="T37" s="152">
        <f t="shared" si="2"/>
        <v>16883</v>
      </c>
    </row>
    <row r="38" spans="1:22" ht="15" thickBot="1" x14ac:dyDescent="0.25">
      <c r="A38" s="260">
        <v>1758</v>
      </c>
      <c r="B38" s="261">
        <f t="shared" si="4"/>
        <v>3201</v>
      </c>
      <c r="C38" s="300">
        <v>2766</v>
      </c>
      <c r="D38" s="251" t="e">
        <f t="shared" si="5"/>
        <v>#REF!</v>
      </c>
      <c r="O38" s="153">
        <v>10300</v>
      </c>
      <c r="P38" s="142">
        <f t="shared" si="0"/>
        <v>77654</v>
      </c>
      <c r="Q38" s="256">
        <v>5761</v>
      </c>
      <c r="R38" s="143">
        <f t="shared" si="1"/>
        <v>47443</v>
      </c>
      <c r="S38" s="257">
        <v>3704</v>
      </c>
      <c r="T38" s="153">
        <f t="shared" si="2"/>
        <v>20587</v>
      </c>
    </row>
    <row r="39" spans="1:22" x14ac:dyDescent="0.2">
      <c r="A39" s="62">
        <f>SUM(A8:A38)</f>
        <v>3201</v>
      </c>
      <c r="B39" s="63"/>
      <c r="C39" s="56" t="e">
        <f>SUM(C4:C38)</f>
        <v>#REF!</v>
      </c>
      <c r="D39" s="57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66">
        <f>SUM(O3:O38)</f>
        <v>77654</v>
      </c>
      <c r="P39" s="26"/>
      <c r="Q39" s="67">
        <f>SUM(Q4:Q38)</f>
        <v>47443</v>
      </c>
      <c r="R39" s="68"/>
      <c r="S39" s="69">
        <f>SUM(S4:S38)</f>
        <v>20587</v>
      </c>
      <c r="T39" s="70"/>
    </row>
    <row r="40" spans="1:22" x14ac:dyDescent="0.2">
      <c r="A40" s="18"/>
      <c r="B40" s="18"/>
      <c r="C40" s="18"/>
      <c r="D40" s="22"/>
      <c r="S40" s="19"/>
      <c r="T40" s="59"/>
    </row>
    <row r="41" spans="1:22" x14ac:dyDescent="0.2">
      <c r="A41" s="18"/>
      <c r="B41" s="18"/>
      <c r="C41" s="18"/>
      <c r="D41" s="22"/>
      <c r="R41" s="18"/>
      <c r="S41" s="19"/>
      <c r="T41" s="59"/>
    </row>
    <row r="42" spans="1:22" x14ac:dyDescent="0.2">
      <c r="A42" s="18"/>
      <c r="B42" s="18"/>
      <c r="C42" s="18"/>
      <c r="D42" s="22"/>
      <c r="R42" s="18"/>
      <c r="S42" s="19"/>
      <c r="T42" s="59"/>
    </row>
    <row r="43" spans="1:22" x14ac:dyDescent="0.2">
      <c r="A43" s="18"/>
      <c r="B43" s="18"/>
      <c r="C43" s="18"/>
      <c r="D43" s="22"/>
      <c r="Q43" s="18"/>
      <c r="R43" s="18"/>
      <c r="S43" s="19"/>
      <c r="T43" s="59"/>
    </row>
    <row r="44" spans="1:22" x14ac:dyDescent="0.2">
      <c r="A44" s="18"/>
      <c r="B44" s="18"/>
      <c r="C44" s="18"/>
      <c r="D44" s="22"/>
      <c r="Q44" s="18"/>
      <c r="R44" s="18"/>
      <c r="S44" s="19"/>
      <c r="T44" s="59"/>
    </row>
    <row r="45" spans="1:22" x14ac:dyDescent="0.2">
      <c r="A45" s="18"/>
      <c r="B45" s="18"/>
      <c r="C45" s="18"/>
      <c r="D45" s="22"/>
      <c r="Q45" s="18"/>
      <c r="R45" s="18"/>
      <c r="S45" s="19"/>
      <c r="T45" s="59"/>
    </row>
    <row r="46" spans="1:22" x14ac:dyDescent="0.2">
      <c r="A46" s="18"/>
      <c r="B46" s="18"/>
      <c r="C46" s="18"/>
      <c r="D46" s="22"/>
      <c r="Q46" s="18"/>
      <c r="R46" s="18"/>
      <c r="S46" s="19"/>
      <c r="T46" s="59"/>
    </row>
    <row r="47" spans="1:22" x14ac:dyDescent="0.2">
      <c r="A47" s="18"/>
      <c r="B47" s="18"/>
      <c r="C47" s="18"/>
      <c r="D47" s="18"/>
      <c r="Q47" s="19"/>
      <c r="R47" s="19"/>
      <c r="S47" s="19"/>
      <c r="T47" s="59"/>
    </row>
    <row r="48" spans="1:22" x14ac:dyDescent="0.2">
      <c r="A48" s="17"/>
      <c r="B48" s="17"/>
      <c r="C48" s="17"/>
      <c r="D48" s="17"/>
      <c r="Q48" s="19"/>
      <c r="R48" s="19"/>
      <c r="S48" s="19"/>
      <c r="T48" s="59"/>
    </row>
    <row r="49" spans="1:20" x14ac:dyDescent="0.2">
      <c r="A49" s="17"/>
      <c r="B49" s="17"/>
      <c r="C49" s="17"/>
      <c r="D49" s="17"/>
      <c r="Q49" s="19"/>
      <c r="R49" s="19"/>
      <c r="S49" s="19"/>
      <c r="T49" s="59"/>
    </row>
    <row r="50" spans="1:20" x14ac:dyDescent="0.2">
      <c r="A50" s="17"/>
      <c r="B50" s="17"/>
      <c r="C50" s="17"/>
      <c r="D50" s="17"/>
      <c r="T50" s="59"/>
    </row>
    <row r="51" spans="1:20" x14ac:dyDescent="0.2">
      <c r="A51" s="17"/>
      <c r="B51" s="17"/>
      <c r="C51" s="17"/>
      <c r="D51" s="17"/>
      <c r="T51" s="59"/>
    </row>
    <row r="52" spans="1:20" x14ac:dyDescent="0.2">
      <c r="A52" s="17"/>
      <c r="B52" s="17"/>
      <c r="C52" s="17"/>
      <c r="D52" s="17"/>
      <c r="T52" s="59"/>
    </row>
    <row r="53" spans="1:20" x14ac:dyDescent="0.2">
      <c r="T53" s="59"/>
    </row>
    <row r="54" spans="1:20" x14ac:dyDescent="0.2">
      <c r="T54" s="59"/>
    </row>
    <row r="55" spans="1:20" x14ac:dyDescent="0.2">
      <c r="T55" s="59"/>
    </row>
  </sheetData>
  <mergeCells count="1">
    <mergeCell ref="A1:T1"/>
  </mergeCells>
  <pageMargins left="0.7" right="0.7" top="0.75" bottom="0.75" header="0.3" footer="0.3"/>
  <pageSetup scale="64" fitToWidth="0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B6E0C0C095C74DBF6DFD278E85DE47" ma:contentTypeVersion="12" ma:contentTypeDescription="Create a new document." ma:contentTypeScope="" ma:versionID="c0f3c6310e1d440a8dbf5f853d978e05">
  <xsd:schema xmlns:xsd="http://www.w3.org/2001/XMLSchema" xmlns:xs="http://www.w3.org/2001/XMLSchema" xmlns:p="http://schemas.microsoft.com/office/2006/metadata/properties" xmlns:ns1="http://schemas.microsoft.com/sharepoint/v3" xmlns:ns3="d10a45f6-13d1-4383-9448-cbc21413ebcd" targetNamespace="http://schemas.microsoft.com/office/2006/metadata/properties" ma:root="true" ma:fieldsID="3258215f91da106db222ea644eba4f66" ns1:_="" ns3:_="">
    <xsd:import namespace="http://schemas.microsoft.com/sharepoint/v3"/>
    <xsd:import namespace="d10a45f6-13d1-4383-9448-cbc21413ebc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0a45f6-13d1-4383-9448-cbc21413eb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A3AEE9-42AF-4F33-B931-5437DE4B59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10a45f6-13d1-4383-9448-cbc21413eb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0D1FF3-CD6F-4180-BD0A-B544AF9BB699}">
  <ds:schemaRefs>
    <ds:schemaRef ds:uri="http://schemas.microsoft.com/sharepoint/v3"/>
    <ds:schemaRef ds:uri="d10a45f6-13d1-4383-9448-cbc21413ebcd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589C373-81DD-4AA5-ADB6-D7C21540BD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Summary</vt:lpstr>
      <vt:lpstr>Mailout</vt:lpstr>
      <vt:lpstr>Return by Mail</vt:lpstr>
      <vt:lpstr>Return by Dropbox</vt:lpstr>
      <vt:lpstr>In-Person Daily by Satellite</vt:lpstr>
      <vt:lpstr>G'rods &amp; Surrendered</vt:lpstr>
      <vt:lpstr>graphs</vt:lpstr>
      <vt:lpstr>Compare Mailed 2020, 16,18,19</vt:lpstr>
      <vt:lpstr>Compare Returns 2020,16,18,19</vt:lpstr>
      <vt:lpstr>Compare In-per 2020,16, 18,19</vt:lpstr>
      <vt:lpstr>'G''rods &amp; Surrendered'!Print_Area</vt:lpstr>
      <vt:lpstr>'In-Person Daily by Satellite'!Print_Area</vt:lpstr>
      <vt:lpstr>Mailout!Print_Area</vt:lpstr>
      <vt:lpstr>'Return by Dropbox'!Print_Area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Cheryl Sue</dc:creator>
  <cp:lastModifiedBy>Jones, Cheryl Sue</cp:lastModifiedBy>
  <cp:lastPrinted>2020-11-07T20:10:28Z</cp:lastPrinted>
  <dcterms:created xsi:type="dcterms:W3CDTF">2019-04-22T15:48:29Z</dcterms:created>
  <dcterms:modified xsi:type="dcterms:W3CDTF">2020-11-10T17:45:22Z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0x010100DBB6E0C0C095C74DBF6DFD278E85DE47</vt:lpwstr>
  </property>
</Properties>
</file>